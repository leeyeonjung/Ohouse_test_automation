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Ohouse_test_automation\testcase_excel\"/>
    </mc:Choice>
  </mc:AlternateContent>
  <xr:revisionPtr revIDLastSave="0" documentId="13_ncr:1_{0856C0D8-33BF-4550-8D19-6685D44DF4B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ummary 1차" sheetId="10" r:id="rId1"/>
    <sheet name="TC 1차" sheetId="13" r:id="rId2"/>
  </sheets>
  <calcPr calcId="191028"/>
  <customWorkbookViews>
    <customWorkbookView name="려경" guid="{3721069E-E21F-425B-953E-C53BD97D095E}" maximized="1" windowWidth="0" windowHeight="0" activeSheetId="0"/>
    <customWorkbookView name="eunjin" guid="{10EF46AD-7679-4B1E-9AAF-6F66EA7FAAE2}" maximized="1" windowWidth="0" windowHeight="0" activeSheetId="0"/>
    <customWorkbookView name="SIVP/R" guid="{0DF91DD0-1E25-4E7B-804E-AD9866DEEF96}" maximized="1" windowWidth="0" windowHeight="0" activeSheetId="0"/>
    <customWorkbookView name="ej" guid="{E616D6AD-3FA3-4A5F-9F3A-C1696E18DA74}" maximized="1" windowWidth="0" windowHeight="0" activeSheetId="0"/>
    <customWorkbookView name="Sangmook" guid="{C487589D-495A-45A8-B13C-081786430145}" maximized="1" windowWidth="0" windowHeight="0" activeSheetId="0"/>
    <customWorkbookView name="yeonjung" guid="{342C6FC7-005A-4B3A-9607-99776ED603FE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10" l="1"/>
  <c r="O6" i="10"/>
  <c r="N6" i="10"/>
  <c r="M6" i="10"/>
  <c r="L6" i="10"/>
  <c r="K6" i="10"/>
  <c r="J6" i="10"/>
  <c r="R6" i="10"/>
  <c r="Q6" i="10"/>
  <c r="O7" i="10" l="1"/>
  <c r="L7" i="10"/>
  <c r="N7" i="10"/>
  <c r="P7" i="10"/>
  <c r="Q7" i="10"/>
  <c r="M7" i="10"/>
  <c r="H6" i="10"/>
  <c r="R7" i="10"/>
  <c r="H7" i="10" l="1"/>
  <c r="K7" i="10"/>
  <c r="I6" i="10"/>
  <c r="J7" i="10"/>
  <c r="E6" i="10" l="1"/>
  <c r="G6" i="10"/>
  <c r="I7" i="10"/>
  <c r="E7" i="10" s="1"/>
  <c r="F6" i="10"/>
  <c r="F7" i="10" l="1"/>
  <c r="G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R4" authorId="0" shapeId="0" xr:uid="{00000000-0006-0000-0900-000002000000}">
      <text>
        <r>
          <rPr>
            <sz val="10"/>
            <color rgb="FF000000"/>
            <rFont val="Arial"/>
            <family val="2"/>
            <scheme val="minor"/>
          </rPr>
          <t>F열(Priority)이 빈 칸이 아니라면 Counting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2" authorId="0" shapeId="0" xr:uid="{4175C3D5-B548-434E-A850-EF792FE50DB2}">
      <text>
        <r>
          <rPr>
            <sz val="10"/>
            <color rgb="FF000000"/>
            <rFont val="Arial"/>
            <family val="2"/>
            <scheme val="minor"/>
          </rPr>
          <t>1️⃣ Feature</t>
        </r>
        <r>
          <rPr>
            <sz val="10"/>
            <color rgb="FF000000"/>
            <rFont val="Arial"/>
            <family val="3"/>
            <charset val="129"/>
            <scheme val="minor"/>
          </rPr>
          <t>를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기능</t>
        </r>
        <r>
          <rPr>
            <sz val="10"/>
            <color rgb="FF000000"/>
            <rFont val="Arial"/>
            <family val="2"/>
            <scheme val="minor"/>
          </rPr>
          <t>/</t>
        </r>
        <r>
          <rPr>
            <sz val="10"/>
            <color rgb="FF000000"/>
            <rFont val="Arial"/>
            <family val="3"/>
            <charset val="129"/>
            <scheme val="minor"/>
          </rPr>
          <t>위치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초점에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맞추어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크게</t>
        </r>
        <r>
          <rPr>
            <sz val="10"/>
            <color rgb="FF000000"/>
            <rFont val="Arial"/>
            <family val="2"/>
            <scheme val="minor"/>
          </rPr>
          <t xml:space="preserve"> 3</t>
        </r>
        <r>
          <rPr>
            <sz val="10"/>
            <color rgb="FF000000"/>
            <rFont val="Arial"/>
            <family val="3"/>
            <charset val="129"/>
            <scheme val="minor"/>
          </rPr>
          <t>가지로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시</t>
        </r>
        <r>
          <rPr>
            <sz val="10"/>
            <color rgb="FF000000"/>
            <rFont val="Arial"/>
            <family val="2"/>
            <scheme val="minor"/>
          </rPr>
          <t xml:space="preserve">, </t>
        </r>
        <r>
          <rPr>
            <sz val="10"/>
            <color rgb="FF000000"/>
            <rFont val="Arial"/>
            <family val="3"/>
            <charset val="129"/>
            <scheme val="minor"/>
          </rPr>
          <t>상위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작성</t>
        </r>
      </text>
    </comment>
    <comment ref="B2" authorId="0" shapeId="0" xr:uid="{7A986670-24AD-4247-BB4B-14EE0B9DB288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중위 분류에 해당</t>
        </r>
      </text>
    </comment>
    <comment ref="C2" authorId="0" shapeId="0" xr:uid="{71911948-1D0A-44EF-8672-6D2B00E723F9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하위 분류에 해당</t>
        </r>
      </text>
    </comment>
    <comment ref="D2" authorId="0" shapeId="0" xr:uid="{05631137-7C94-4C1D-9FA7-018CEAFC9979}">
      <text>
        <r>
          <rPr>
            <sz val="10"/>
            <color rgb="FF000000"/>
            <rFont val="Arial"/>
            <family val="2"/>
            <scheme val="minor"/>
          </rPr>
          <t>1️⃣ 1 ~ 3 Depth 로 분류 된 Feature 내에서 테스트 수행할 대상 및 수행 목적 등 을 작성</t>
        </r>
      </text>
    </comment>
    <comment ref="E2" authorId="0" shapeId="0" xr:uid="{C8ECD2C6-7E53-4CA5-8B20-FBDF2AB97F2E}">
      <text>
        <r>
          <rPr>
            <sz val="10"/>
            <color rgb="FF000000"/>
            <rFont val="Arial"/>
            <family val="2"/>
            <scheme val="minor"/>
          </rPr>
          <t>1️⃣ 테스트 중요도를 의미하며, 드롭다운 리스트 형태로 아래 항목들 중 선택
P1 → Checklist 사용할 기본 기능, 주요 기능의 경우
P2 → 주요 기능은 아니지만, Major한 기능의 경우 
p3 → Minor 한 기능</t>
        </r>
      </text>
    </comment>
    <comment ref="F2" authorId="0" shapeId="0" xr:uid="{DB32C316-C647-450C-BFFB-A076292FB2A0}">
      <text>
        <r>
          <rPr>
            <sz val="10"/>
            <color rgb="FF000000"/>
            <rFont val="Arial"/>
            <family val="2"/>
            <scheme val="minor"/>
          </rPr>
          <t>1️⃣ 테스트 수행 시 필요한 Input Data 를 작성</t>
        </r>
      </text>
    </comment>
    <comment ref="G2" authorId="0" shapeId="0" xr:uid="{7D51CB0E-E0E2-4153-878F-640864E62207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수행하기 위한, 필수 설정 혹은 상태를 작성
2️⃣ &lt;설정&gt; 영역과, &lt;상태&gt; 영역으로 구분지어 작성 → 각 영역에는 필수 설정&amp;상태 를 작성 </t>
        </r>
      </text>
    </comment>
    <comment ref="H2" authorId="0" shapeId="0" xr:uid="{2E960141-D9EC-44A2-AFC7-ABF731C3F9CF}">
      <text>
        <r>
          <rPr>
            <sz val="10"/>
            <color rgb="FF000000"/>
            <rFont val="Arial"/>
            <family val="2"/>
            <scheme val="minor"/>
          </rPr>
          <t>1️⃣ 테스트 수행 스텝 작성
2️⃣ 번호 형식으로 각 스텝 표시</t>
        </r>
      </text>
    </comment>
    <comment ref="I2" authorId="0" shapeId="0" xr:uid="{27245157-C2A8-4B60-9DAF-E2B1C070CD9B}">
      <text>
        <r>
          <rPr>
            <sz val="10"/>
            <color rgb="FF000000"/>
            <rFont val="Arial"/>
            <family val="2"/>
            <scheme val="minor"/>
          </rPr>
          <t>1️⃣ 테스트 수행 시 요구되는 기대 결과 작성
2️⃣ Test Step 에 작성된 각 스텝과 번호를 매칭하여 기대 결과를 작성</t>
        </r>
      </text>
    </comment>
    <comment ref="J2" authorId="0" shapeId="0" xr:uid="{62B1DD6C-CCF3-4569-9CF5-A76C19B341A6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K2" authorId="0" shapeId="0" xr:uid="{88E0DACF-F81D-486A-9CE3-B91BF03FACAF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L2" authorId="0" shapeId="0" xr:uid="{CCF87FDD-B7EB-4EBC-9A66-23FCE9B60C22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수행자 작성 </t>
        </r>
      </text>
    </comment>
    <comment ref="M2" authorId="0" shapeId="0" xr:uid="{2C4B24F6-CF94-4EC2-B28B-68BA199EBB62}">
      <text>
        <r>
          <rPr>
            <sz val="10"/>
            <color rgb="FF000000"/>
            <rFont val="Arial"/>
            <family val="2"/>
            <scheme val="minor"/>
          </rPr>
          <t xml:space="preserve">1️⃣ Jira에 등록된 Issue 링크 작성 </t>
        </r>
      </text>
    </comment>
    <comment ref="N2" authorId="0" shapeId="0" xr:uid="{ECD32B8E-BF59-4B47-8A74-15DC0E8EE774}">
      <text>
        <r>
          <rPr>
            <sz val="10"/>
            <color rgb="FF000000"/>
            <rFont val="Arial"/>
            <family val="2"/>
            <scheme val="minor"/>
          </rPr>
          <t>1️⃣ 테스트 확인(실제) 결과 내용, 테스트 수행 과정 내용 등 테스트 수행 관련 메모 작성</t>
        </r>
      </text>
    </comment>
    <comment ref="O2" authorId="0" shapeId="0" xr:uid="{8F8346F4-B79F-40E0-A648-DC9F114896BB}">
      <text>
        <r>
          <rPr>
            <sz val="10"/>
            <color rgb="FF000000"/>
            <rFont val="Arial"/>
            <family val="2"/>
            <scheme val="minor"/>
          </rPr>
          <t>1️⃣ 참고 사항, 문서, 링크 등 테스트 수행 시 참고가 될 내용 작성</t>
        </r>
      </text>
    </comment>
    <comment ref="P2" authorId="0" shapeId="0" xr:uid="{979236B8-6594-4A2C-86EC-F6905B570831}">
      <text>
        <r>
          <rPr>
            <sz val="10"/>
            <color rgb="FF000000"/>
            <rFont val="Arial"/>
            <family val="2"/>
            <scheme val="minor"/>
          </rPr>
          <t>(예시) 
[cxr3160.jmx]
FT_AGE_001 
[cxr3160_manual.jmx]
FT_AGE_001 
[test_PT_SCTYPE_001.py]
test_sc_type_map
test_sc_type_report</t>
        </r>
      </text>
    </comment>
  </commentList>
</comments>
</file>

<file path=xl/sharedStrings.xml><?xml version="1.0" encoding="utf-8"?>
<sst xmlns="http://schemas.openxmlformats.org/spreadsheetml/2006/main" count="227" uniqueCount="120">
  <si>
    <t>1 Depth</t>
  </si>
  <si>
    <t>2 Depth</t>
  </si>
  <si>
    <t>3 Depth</t>
  </si>
  <si>
    <t>Priority</t>
  </si>
  <si>
    <t>Test Data</t>
  </si>
  <si>
    <t>Pre-condition</t>
  </si>
  <si>
    <t>Test Step</t>
  </si>
  <si>
    <t>Expected Result</t>
  </si>
  <si>
    <t>Issue Link</t>
  </si>
  <si>
    <t>Test Comment</t>
  </si>
  <si>
    <t>Remark</t>
  </si>
  <si>
    <t>Auto Script</t>
  </si>
  <si>
    <t>Auto Comment</t>
  </si>
  <si>
    <t>P2</t>
  </si>
  <si>
    <t>P1</t>
  </si>
  <si>
    <t>P3</t>
  </si>
  <si>
    <t>1Depth</t>
  </si>
  <si>
    <t>Version</t>
  </si>
  <si>
    <t>테스트 진행률</t>
  </si>
  <si>
    <t>패스율</t>
  </si>
  <si>
    <t>테스트 
커버리지</t>
  </si>
  <si>
    <t>전체 유효
테스트 개수</t>
  </si>
  <si>
    <t>실행된 테스트 개수(a)</t>
  </si>
  <si>
    <t>성공개수(b)</t>
  </si>
  <si>
    <t>실패개수
Fail(c) + Blocked(d)</t>
  </si>
  <si>
    <t>우선순위별 실패개수(c)</t>
  </si>
  <si>
    <t>Blocked(d)</t>
  </si>
  <si>
    <t>N/T(e)
테스트 하지 않음</t>
  </si>
  <si>
    <t>N/A(f)
테스트 진행불가</t>
  </si>
  <si>
    <t>전체 
테스트 개수(g)</t>
  </si>
  <si>
    <t>Total</t>
  </si>
  <si>
    <t>Android</t>
    <phoneticPr fontId="16" type="noConversion"/>
  </si>
  <si>
    <t>Q01</t>
  </si>
  <si>
    <t>Test Title</t>
  </si>
  <si>
    <t>Result (Android)</t>
  </si>
  <si>
    <t>Automated</t>
  </si>
  <si>
    <t>로그인</t>
  </si>
  <si>
    <t>로그인 화면</t>
  </si>
  <si>
    <t>로그인 화면 진입</t>
  </si>
  <si>
    <t>&lt;상태&gt;
1. 앱 설치 상태</t>
  </si>
  <si>
    <t>1. 앱 실행</t>
  </si>
  <si>
    <t>오늘의 집
3초만에 빠른 회원가입
카카오톡으로 계속하기
네이버 페이스북 애플
이메일로 로그인 | 이메일로 가입
로그인에 문제가 있으신가요?
비회원 주문하기</t>
  </si>
  <si>
    <t>Done</t>
  </si>
  <si>
    <t>test_login.py::test_login_screen</t>
  </si>
  <si>
    <t>SNS 로그인</t>
  </si>
  <si>
    <t>카카오톡으로 계속하기</t>
  </si>
  <si>
    <t>기기 내 카카오 로그인 세션 존재 시 등록된 회원의 로그인 성공하는지 확인</t>
  </si>
  <si>
    <t>&lt;상태&gt; 
1.기기 내 유효한 카카오 회원 세션 존재</t>
  </si>
  <si>
    <t>1. 앱 실행
2. [카카오로 계속하기] 선택</t>
  </si>
  <si>
    <t>2. 로그인 성공 후 메인 페이지 노출</t>
  </si>
  <si>
    <t>test_login.py::test_kakao_login_success_with_session</t>
  </si>
  <si>
    <t>기기 내 카카오 로그인 세션이 없을 때 카카오 로그인 페이지로 이동되는지 확인</t>
  </si>
  <si>
    <t>&lt;상태&gt;
1.기기 내 카카오 세션 없음</t>
  </si>
  <si>
    <t>2. 웹뷰 카카오 로그인 페이지 노출</t>
  </si>
  <si>
    <t>test_login.py::test_kakao_login_webview</t>
  </si>
  <si>
    <t>기기 내 카카오 로그인 세션이 없을 때 등록된 회원의 ID·PW 입력 후 로그인 성공하는지 확인</t>
  </si>
  <si>
    <t>&lt;상태&gt;
1.기기 내 카카오 세션 없음
2. 기존 회원의 유효한 ID·PW 존재</t>
  </si>
  <si>
    <t>1. 앱 실행
2. [카카오로 계속하기] 선택
3. 카카오 계정(ID·PW) 입력</t>
  </si>
  <si>
    <t>3. 로그인 성공 후 메인 페이지 노출</t>
  </si>
  <si>
    <t>N/A</t>
  </si>
  <si>
    <t>네이버로 가입하기</t>
  </si>
  <si>
    <t>기기 내 네이버 로그인 세션 존재 시 등록된 회원의 로그인 성공하는지 확인</t>
  </si>
  <si>
    <t>&lt;상태&gt;
1.기기 내 유효한 네이버 회원 세션 존재</t>
  </si>
  <si>
    <t>1. 앱 실행
2. 네이버 아이콘 선택</t>
  </si>
  <si>
    <t>test_login.py::test_naver_login_success_with_session</t>
  </si>
  <si>
    <t>기기 내 네이버 로그인 세션이 없을 때 네이버 로그인 페이지로 이동되는지 확인</t>
  </si>
  <si>
    <t>&lt;상태&gt;
1.기기 내 네이버 세션 없음</t>
  </si>
  <si>
    <t>2. 웹뷰 네이버 로그인 페이지 노출</t>
  </si>
  <si>
    <t>test_login.py::test_naver_login_webview</t>
  </si>
  <si>
    <t>기기 내 네이버 로그인 세션이 없을 때 등록된 회원의 ID·PW 입력 후 로그인 성공하는지 확인</t>
  </si>
  <si>
    <t>&lt;상태&gt;
1.기기 내 네이버 세션 없음
2. 기존 회원의 유효한 ID·PW 존재</t>
  </si>
  <si>
    <t>1. 앱 실행
2. 네이버 아이콘 선택
3. 네이버 계정(ID·PW) 입력</t>
  </si>
  <si>
    <t>페이스북으로 가입하기</t>
  </si>
  <si>
    <t>기기 내 페이스북 로그인 세션 존재 시 등록된 회원의 로그인 성공하는지 확인</t>
  </si>
  <si>
    <t>&lt;상태&gt;
1.기기 내 유효한 페이스북 회원 세션 존재</t>
  </si>
  <si>
    <t>1. 앱 실행
2. 페이스북 아이콘 선택</t>
  </si>
  <si>
    <t>test_login.py::test_facebook_login_success_with_session</t>
  </si>
  <si>
    <t>기기 내 페이스북 로그인 세션이 없을 때 페이스북 로그인 페이지로 이동되는지 확인</t>
  </si>
  <si>
    <t>&lt;상태&gt;
1.기기 내 페이스북 세션 없음</t>
  </si>
  <si>
    <t>2. 웹뷰 페이스북 로그인 페이지 노출</t>
  </si>
  <si>
    <t>test_login.py::test_facebook_login_webview</t>
  </si>
  <si>
    <t>기기 내 페이스북 로그인 세션이 없을 때 등록된 회원의 ID·PW 입력 후 로그인 성공하는지 확인</t>
  </si>
  <si>
    <t>&lt;상태&gt;
1.기기 내 페이스북 세션 없음
2. 기존 회원의 유효한 ID·PW 존재</t>
  </si>
  <si>
    <t>1. 앱 실행
2. 페이스북 아이콘 선택
3. 페이스북 계정(ID·PW) 입력</t>
  </si>
  <si>
    <t>애플 로그인으로 가입하기</t>
  </si>
  <si>
    <t>기기 내 애플 로그인 세션 존재 시 등록된 회원의 로그인 성공하는지 확인</t>
  </si>
  <si>
    <t>&lt;상태&gt;
1.기기 내 유효한 애플 회원 세션 존재</t>
  </si>
  <si>
    <t>1. 앱 실행
2. 애플 아이콘 선택</t>
  </si>
  <si>
    <t>test_login.py::test_apple_login_success_with_session</t>
  </si>
  <si>
    <t>기기 내 애플 로그인 세션이 없을 때 애플 로그인 페이지로 이동되는지 확인</t>
  </si>
  <si>
    <t>&lt;상태&gt;
1.기기 내 애플 세션 없음</t>
  </si>
  <si>
    <t>2. 웹뷰 애플 로그인 페이지 노출</t>
  </si>
  <si>
    <t>test_login.py::test_apple_login_webview</t>
  </si>
  <si>
    <t>기기 내 애플 로그인 세션이 없을 때 등록된 회원의 ID·PW 입력 후 로그인 성공하는지 확인</t>
  </si>
  <si>
    <t>&lt;상태&gt;
1.기기 내 애플 세션 없음
2. 기존 회원의 유효한 ID·PW 존재</t>
  </si>
  <si>
    <t>1. 앱 실행
2. 애플 아이콘 선택
3. 애플 계정(ID·PW) 입력</t>
  </si>
  <si>
    <t>이메일로 로그인</t>
  </si>
  <si>
    <t>유효 ID·PW로 로그인 시 등록된 회원의 로그인 성공하는지 확인</t>
  </si>
  <si>
    <t>&lt;상태&gt;
1. 기존 회원의 유효한 ID·PW 존재</t>
  </si>
  <si>
    <t>1. 앱 실행
2. [이메일로 로그인] 선택 
3. 유효한 ID·PW 입력
4. [로그인하기] 선택
5. 페이지 이동 확인</t>
  </si>
  <si>
    <t>5.메인 페이지로 이동</t>
  </si>
  <si>
    <t>test_login.py::test_email_login_success</t>
  </si>
  <si>
    <t>유효 ID· 비유효 PW로 로그인 시 등록된 회원의 로그인 성공하는지 확인</t>
  </si>
  <si>
    <t>1. 앱 실행
2. [이메일로 로그인] 선택 
3. 유효 ID· 비유효 PW 입력
4. [로그인하기] 선택</t>
  </si>
  <si>
    <t>5-1. "10번 실패하면 10분간 로그인이 제한되요 (n/10)" 의 toast 메시지가 노출됨
5-2. 현재 페이지 유지 (화면 이동 없음)</t>
  </si>
  <si>
    <t>test_login.py::test_email_login_fail_with_invalid_email</t>
  </si>
  <si>
    <t>비유효 ID· 유효 PW로 로그인 시 등록된 회원의 로그인 성공하는지 확인</t>
  </si>
  <si>
    <t>1. 앱 실행
2. [이메일로 로그인] 선택 
3. 비유효 ID· 유효 PW 입력
4. [로그인하기] 선택
5. 페이지 이동 확인</t>
  </si>
  <si>
    <t>test_login.py::test_email_login_fail_with_invalid_password</t>
  </si>
  <si>
    <t>Done</t>
    <phoneticPr fontId="16" type="noConversion"/>
  </si>
  <si>
    <t>로그인</t>
    <phoneticPr fontId="16" type="noConversion"/>
  </si>
  <si>
    <t>Test Result Summary</t>
    <phoneticPr fontId="16" type="noConversion"/>
  </si>
  <si>
    <t>Result (iOS)</t>
    <phoneticPr fontId="16" type="noConversion"/>
  </si>
  <si>
    <t>N/A</t>
    <phoneticPr fontId="16" type="noConversion"/>
  </si>
  <si>
    <t>PASS</t>
  </si>
  <si>
    <t>PASS</t>
    <phoneticPr fontId="16" type="noConversion"/>
  </si>
  <si>
    <t>&lt;Android&gt;_x000D_
Q01</t>
  </si>
  <si>
    <r>
      <t xml:space="preserve">Android </t>
    </r>
    <r>
      <rPr>
        <sz val="10"/>
        <color rgb="FF000000"/>
        <rFont val="맑은 고딕"/>
        <family val="2"/>
        <charset val="129"/>
      </rPr>
      <t>환경에서는</t>
    </r>
    <r>
      <rPr>
        <sz val="10"/>
        <color rgb="FF000000"/>
        <rFont val="Arial"/>
        <family val="2"/>
        <scheme val="minor"/>
      </rPr>
      <t xml:space="preserve"> Apple </t>
    </r>
    <r>
      <rPr>
        <sz val="10"/>
        <color rgb="FF000000"/>
        <rFont val="맑은 고딕"/>
        <family val="2"/>
        <charset val="129"/>
      </rPr>
      <t>로그인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2"/>
        <charset val="129"/>
      </rPr>
      <t>기능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2"/>
        <charset val="129"/>
      </rPr>
      <t>비활성화</t>
    </r>
    <r>
      <rPr>
        <sz val="10"/>
        <color rgb="FF000000"/>
        <rFont val="Arial"/>
        <family val="2"/>
        <scheme val="minor"/>
      </rPr>
      <t xml:space="preserve">. iOS </t>
    </r>
    <r>
      <rPr>
        <sz val="10"/>
        <color rgb="FF000000"/>
        <rFont val="맑은 고딕"/>
        <family val="2"/>
        <charset val="129"/>
      </rPr>
      <t>전용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2"/>
        <charset val="129"/>
      </rPr>
      <t>기능으로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2"/>
        <charset val="129"/>
      </rPr>
      <t>테스트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2"/>
        <charset val="129"/>
      </rPr>
      <t>코드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2"/>
        <charset val="129"/>
      </rPr>
      <t>내에</t>
    </r>
    <r>
      <rPr>
        <sz val="10"/>
        <color rgb="FF000000"/>
        <rFont val="Arial"/>
        <family val="2"/>
        <scheme val="minor"/>
      </rPr>
      <t xml:space="preserve"> platform="android"</t>
    </r>
    <r>
      <rPr>
        <sz val="10"/>
        <color rgb="FF000000"/>
        <rFont val="맑은 고딕"/>
        <family val="2"/>
        <charset val="129"/>
      </rPr>
      <t>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2"/>
        <charset val="129"/>
      </rPr>
      <t>경우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2"/>
        <charset val="129"/>
      </rPr>
      <t>테스트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2"/>
        <charset val="129"/>
      </rPr>
      <t>제외함</t>
    </r>
    <phoneticPr fontId="16" type="noConversion"/>
  </si>
  <si>
    <t>Tested Ver</t>
    <phoneticPr fontId="16" type="noConversion"/>
  </si>
  <si>
    <r>
      <rPr>
        <sz val="10"/>
        <color rgb="FF000000"/>
        <rFont val="맑은 고딕"/>
        <family val="3"/>
        <charset val="129"/>
      </rPr>
      <t>로그인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과정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기기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승인</t>
    </r>
    <r>
      <rPr>
        <sz val="10"/>
        <color rgb="FF000000"/>
        <rFont val="Arial"/>
        <family val="2"/>
        <scheme val="minor"/>
      </rPr>
      <t xml:space="preserve">(2FA) </t>
    </r>
    <r>
      <rPr>
        <sz val="10"/>
        <color rgb="FF000000"/>
        <rFont val="맑은 고딕"/>
        <family val="3"/>
        <charset val="129"/>
      </rPr>
      <t>플로우가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발생하여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자동화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테스트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환경</t>
    </r>
    <r>
      <rPr>
        <sz val="10"/>
        <color rgb="FF000000"/>
        <rFont val="Arial"/>
        <family val="2"/>
        <scheme val="minor"/>
      </rPr>
      <t>(Appium)</t>
    </r>
    <r>
      <rPr>
        <sz val="10"/>
        <color rgb="FF000000"/>
        <rFont val="맑은 고딕"/>
        <family val="3"/>
        <charset val="129"/>
      </rPr>
      <t>에서는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인증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절차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진행이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불가함</t>
    </r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</si>
</sst>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color rgb="FF000000"/>
      <name val="Arial"/>
      <scheme val="minor"/>
    </font>
    <font>
      <sz val="10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b/>
      <sz val="10"/>
      <color rgb="FF000000"/>
      <name val="&quot;Malgun Gothic&quot;"/>
    </font>
    <font>
      <sz val="10"/>
      <color rgb="FF000000"/>
      <name val="&quot;Malgun Gothic&quot;"/>
    </font>
    <font>
      <b/>
      <sz val="18"/>
      <color theme="1"/>
      <name val="Arial"/>
      <family val="2"/>
    </font>
    <font>
      <i/>
      <sz val="8"/>
      <color rgb="FFFF0000"/>
      <name val="Arial"/>
      <family val="2"/>
      <scheme val="minor"/>
    </font>
    <font>
      <b/>
      <sz val="12"/>
      <color rgb="FF38761D"/>
      <name val="Arial"/>
      <family val="2"/>
    </font>
    <font>
      <b/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rgb="FF666666"/>
      <name val="Arial"/>
      <family val="2"/>
    </font>
    <font>
      <sz val="8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sz val="10"/>
      <color rgb="FF000000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b/>
      <sz val="9"/>
      <color theme="1"/>
      <name val="맑은 고딕"/>
      <family val="2"/>
      <charset val="129"/>
    </font>
    <font>
      <sz val="10"/>
      <color theme="0"/>
      <name val="Arial"/>
      <family val="2"/>
      <scheme val="minor"/>
    </font>
    <font>
      <b/>
      <sz val="12"/>
      <color theme="1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Consolas"/>
      <family val="3"/>
    </font>
    <font>
      <sz val="10"/>
      <color rgb="FF000000"/>
      <name val="맑은 고딕"/>
      <family val="3"/>
      <charset val="129"/>
    </font>
    <font>
      <sz val="10"/>
      <color rgb="FF000000"/>
      <name val="맑은 고딕"/>
      <family val="2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  <fill>
      <patternFill patternType="solid">
        <fgColor rgb="FFCFE2F3"/>
        <bgColor rgb="FFCFE2F3"/>
      </patternFill>
    </fill>
    <fill>
      <patternFill patternType="solid">
        <fgColor rgb="FFFFFFFF"/>
        <bgColor rgb="FFFFFFFF"/>
      </patternFill>
    </fill>
    <fill>
      <patternFill patternType="solid">
        <fgColor rgb="FF9FC5E8"/>
        <bgColor rgb="FF9FC5E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0E0E3"/>
      </patternFill>
    </fill>
    <fill>
      <patternFill patternType="solid">
        <fgColor theme="0"/>
        <bgColor rgb="FFCCCCCC"/>
      </patternFill>
    </fill>
    <fill>
      <patternFill patternType="solid">
        <fgColor theme="0"/>
        <bgColor rgb="FF9FC5E8"/>
      </patternFill>
    </fill>
    <fill>
      <patternFill patternType="solid">
        <fgColor rgb="FFFFFFFF"/>
        <bgColor indexed="64"/>
      </patternFill>
    </fill>
    <fill>
      <patternFill patternType="solid">
        <fgColor rgb="FF07376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>
      <alignment vertical="center"/>
    </xf>
    <xf numFmtId="0" fontId="17" fillId="0" borderId="9"/>
    <xf numFmtId="9" fontId="17" fillId="0" borderId="9" applyFont="0" applyFill="0" applyBorder="0" applyAlignment="0" applyProtection="0">
      <alignment vertical="center"/>
    </xf>
  </cellStyleXfs>
  <cellXfs count="88">
    <xf numFmtId="0" fontId="0" fillId="0" borderId="0" xfId="0"/>
    <xf numFmtId="0" fontId="8" fillId="5" borderId="9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center" vertical="center" wrapText="1"/>
    </xf>
    <xf numFmtId="10" fontId="12" fillId="5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10" fontId="3" fillId="5" borderId="6" xfId="0" applyNumberFormat="1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6" borderId="9" xfId="0" applyFont="1" applyFill="1" applyBorder="1" applyAlignment="1">
      <alignment horizontal="center" wrapText="1"/>
    </xf>
    <xf numFmtId="0" fontId="6" fillId="6" borderId="9" xfId="0" applyFont="1" applyFill="1" applyBorder="1" applyAlignment="1">
      <alignment horizontal="center" wrapText="1"/>
    </xf>
    <xf numFmtId="0" fontId="7" fillId="8" borderId="9" xfId="0" applyFont="1" applyFill="1" applyBorder="1" applyAlignment="1">
      <alignment horizontal="center" wrapText="1"/>
    </xf>
    <xf numFmtId="0" fontId="7" fillId="10" borderId="9" xfId="0" applyFont="1" applyFill="1" applyBorder="1" applyAlignment="1">
      <alignment horizontal="center" wrapText="1"/>
    </xf>
    <xf numFmtId="0" fontId="6" fillId="10" borderId="9" xfId="0" applyFont="1" applyFill="1" applyBorder="1" applyAlignment="1">
      <alignment horizontal="center" wrapText="1"/>
    </xf>
    <xf numFmtId="0" fontId="17" fillId="0" borderId="0" xfId="0" applyFont="1"/>
    <xf numFmtId="0" fontId="0" fillId="0" borderId="0" xfId="0" applyAlignment="1">
      <alignment vertical="center"/>
    </xf>
    <xf numFmtId="9" fontId="0" fillId="0" borderId="0" xfId="1" applyFont="1" applyAlignment="1"/>
    <xf numFmtId="0" fontId="21" fillId="0" borderId="0" xfId="0" applyFont="1" applyAlignment="1">
      <alignment horizontal="center"/>
    </xf>
    <xf numFmtId="0" fontId="17" fillId="0" borderId="10" xfId="0" applyFont="1" applyBorder="1" applyAlignment="1">
      <alignment vertical="center" wrapText="1"/>
    </xf>
    <xf numFmtId="0" fontId="17" fillId="12" borderId="10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vertical="center" wrapText="1"/>
    </xf>
    <xf numFmtId="0" fontId="17" fillId="0" borderId="13" xfId="0" applyFont="1" applyBorder="1" applyAlignment="1">
      <alignment horizontal="center" vertical="center" wrapText="1"/>
    </xf>
    <xf numFmtId="0" fontId="25" fillId="0" borderId="13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0" fontId="20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8" fillId="5" borderId="9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22" fillId="11" borderId="9" xfId="0" applyFont="1" applyFill="1" applyBorder="1" applyAlignment="1">
      <alignment horizontal="center" vertical="center"/>
    </xf>
    <xf numFmtId="0" fontId="8" fillId="11" borderId="9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top" wrapText="1"/>
    </xf>
    <xf numFmtId="10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/>
    </xf>
    <xf numFmtId="0" fontId="2" fillId="9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 vertical="center"/>
    </xf>
    <xf numFmtId="0" fontId="5" fillId="10" borderId="9" xfId="0" applyFont="1" applyFill="1" applyBorder="1" applyAlignment="1">
      <alignment horizontal="center"/>
    </xf>
    <xf numFmtId="0" fontId="2" fillId="0" borderId="0" xfId="0" applyFont="1" applyAlignment="1">
      <alignment horizontal="center" vertical="top"/>
    </xf>
    <xf numFmtId="0" fontId="4" fillId="0" borderId="8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/>
    </xf>
    <xf numFmtId="0" fontId="4" fillId="3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4" fillId="4" borderId="8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10" fillId="3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</cellXfs>
  <cellStyles count="4">
    <cellStyle name="백분율" xfId="1" builtinId="5"/>
    <cellStyle name="백분율 2" xfId="3" xr:uid="{4FCA9F6F-BF10-42C9-94F1-D80EA51C69F5}"/>
    <cellStyle name="표준" xfId="0" builtinId="0"/>
    <cellStyle name="표준 2" xfId="2" xr:uid="{9E7492ED-2EEF-494A-BF8A-928FE6D17643}"/>
  </cellStyles>
  <dxfs count="4">
    <dxf>
      <font>
        <color rgb="FFCC0000"/>
      </font>
      <fill>
        <patternFill patternType="none"/>
      </fill>
    </dxf>
    <dxf>
      <font>
        <color rgb="FFB7B7B7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9DAF8"/>
    <outlinePr summaryBelow="0" summaryRight="0"/>
  </sheetPr>
  <dimension ref="A1:T852"/>
  <sheetViews>
    <sheetView showGridLines="0" workbookViewId="0">
      <selection activeCell="G8" sqref="G8"/>
    </sheetView>
  </sheetViews>
  <sheetFormatPr defaultColWidth="12.6640625" defaultRowHeight="15.75" customHeight="1"/>
  <cols>
    <col min="1" max="1" width="4.109375" style="31" customWidth="1"/>
    <col min="2" max="2" width="11.6640625" style="31" customWidth="1"/>
    <col min="3" max="3" width="33.109375" style="31" customWidth="1"/>
    <col min="4" max="4" width="18.33203125" style="31" customWidth="1"/>
    <col min="5" max="6" width="12.6640625" style="31"/>
    <col min="7" max="7" width="11.33203125" style="31" customWidth="1"/>
    <col min="8" max="11" width="12.6640625" style="31"/>
    <col min="12" max="14" width="8" style="31" customWidth="1"/>
    <col min="15" max="15" width="9.109375" style="31" customWidth="1"/>
    <col min="16" max="17" width="12.6640625" style="31"/>
    <col min="18" max="18" width="10.6640625" style="31" customWidth="1"/>
    <col min="19" max="16384" width="12.6640625" style="31"/>
  </cols>
  <sheetData>
    <row r="1" spans="1:20" ht="6.75" customHeight="1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</row>
    <row r="2" spans="1:20" ht="30" customHeight="1">
      <c r="A2" s="58"/>
      <c r="B2" s="1" t="s">
        <v>111</v>
      </c>
      <c r="C2" s="32"/>
      <c r="D2" s="33"/>
      <c r="E2" s="68"/>
      <c r="F2" s="69"/>
      <c r="G2" s="30"/>
      <c r="H2" s="36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</row>
    <row r="3" spans="1:20" ht="30" customHeight="1">
      <c r="A3" s="30"/>
      <c r="B3" s="37" t="s">
        <v>31</v>
      </c>
      <c r="C3" s="38"/>
      <c r="D3" s="39"/>
      <c r="E3" s="34"/>
      <c r="F3" s="35"/>
      <c r="G3" s="30"/>
      <c r="H3" s="36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</row>
    <row r="4" spans="1:20" ht="24.6" customHeight="1">
      <c r="A4" s="30"/>
      <c r="B4" s="70"/>
      <c r="C4" s="72" t="s">
        <v>16</v>
      </c>
      <c r="D4" s="62" t="s">
        <v>17</v>
      </c>
      <c r="E4" s="62" t="s">
        <v>18</v>
      </c>
      <c r="F4" s="62" t="s">
        <v>19</v>
      </c>
      <c r="G4" s="62" t="s">
        <v>20</v>
      </c>
      <c r="H4" s="62" t="s">
        <v>21</v>
      </c>
      <c r="I4" s="62" t="s">
        <v>22</v>
      </c>
      <c r="J4" s="62" t="s">
        <v>23</v>
      </c>
      <c r="K4" s="63" t="s">
        <v>24</v>
      </c>
      <c r="L4" s="64" t="s">
        <v>25</v>
      </c>
      <c r="M4" s="65"/>
      <c r="N4" s="66"/>
      <c r="O4" s="67" t="s">
        <v>26</v>
      </c>
      <c r="P4" s="59" t="s">
        <v>27</v>
      </c>
      <c r="Q4" s="59" t="s">
        <v>28</v>
      </c>
      <c r="R4" s="61" t="s">
        <v>29</v>
      </c>
      <c r="S4" s="30"/>
      <c r="T4" s="30"/>
    </row>
    <row r="5" spans="1:20" ht="24.6" customHeight="1">
      <c r="A5" s="30"/>
      <c r="B5" s="71"/>
      <c r="C5" s="60"/>
      <c r="D5" s="60"/>
      <c r="E5" s="60"/>
      <c r="F5" s="60"/>
      <c r="G5" s="60"/>
      <c r="H5" s="60"/>
      <c r="I5" s="60"/>
      <c r="J5" s="60"/>
      <c r="K5" s="60"/>
      <c r="L5" s="2" t="s">
        <v>14</v>
      </c>
      <c r="M5" s="2" t="s">
        <v>13</v>
      </c>
      <c r="N5" s="2" t="s">
        <v>15</v>
      </c>
      <c r="O5" s="60"/>
      <c r="P5" s="60"/>
      <c r="Q5" s="60"/>
      <c r="R5" s="60"/>
      <c r="S5" s="30"/>
      <c r="T5" s="30"/>
    </row>
    <row r="6" spans="1:20" ht="13.2">
      <c r="A6" s="30"/>
      <c r="B6" s="40">
        <v>1</v>
      </c>
      <c r="C6" s="29" t="s">
        <v>110</v>
      </c>
      <c r="D6" s="41"/>
      <c r="E6" s="42">
        <f t="shared" ref="E6" si="0">IFERROR(I6/(R6-P6-Q6),0)</f>
        <v>1</v>
      </c>
      <c r="F6" s="42">
        <f t="shared" ref="F6" si="1">IFERROR(J6/I6,0)</f>
        <v>1</v>
      </c>
      <c r="G6" s="42">
        <f t="shared" ref="G6" si="2">IFERROR(I6/(R6-P6),0)</f>
        <v>0.875</v>
      </c>
      <c r="H6" s="43">
        <f t="shared" ref="H6" si="3">R6-Q6-P6</f>
        <v>14</v>
      </c>
      <c r="I6" s="43">
        <f t="shared" ref="I6" si="4">J6+K6</f>
        <v>14</v>
      </c>
      <c r="J6" s="43">
        <f>COUNTIFS('TC 1차'!A:A, C6, 'TC 1차'!J:J, "PASS")</f>
        <v>14</v>
      </c>
      <c r="K6" s="43">
        <f>COUNTIFS('TC 1차'!A:A, C6, 'TC 1차'!J:J, "FAIL")</f>
        <v>0</v>
      </c>
      <c r="L6" s="43">
        <f>COUNTIFS('TC 1차'!A:A, C6, 'TC 1차'!E:E, "P1", 'TC 1차'!J:J, "FAIL")</f>
        <v>0</v>
      </c>
      <c r="M6" s="43">
        <f>COUNTIFS('TC 1차'!A:A, C6, 'TC 1차'!E:E, "P2", 'TC 1차'!J:J, "FAIL")</f>
        <v>0</v>
      </c>
      <c r="N6" s="43">
        <f>COUNTIFS('TC 1차'!A:A, C6, 'TC 1차'!E:E, "P3", 'TC 1차'!J:J, "FAIL")</f>
        <v>0</v>
      </c>
      <c r="O6" s="43">
        <f>COUNTIFS('TC 1차'!A:A, C6, 'TC 1차'!J:J, "Blocked")</f>
        <v>0</v>
      </c>
      <c r="P6" s="43">
        <f>COUNTIFS('TC 1차'!A:A, C6, 'TC 1차'!J:J, "N/T")</f>
        <v>0</v>
      </c>
      <c r="Q6" s="43">
        <f>COUNTIFS('TC 1차'!A:A, C6, 'TC 1차'!J:J, "N/A")</f>
        <v>2</v>
      </c>
      <c r="R6" s="43">
        <f>COUNTIFS('TC 1차'!A:A, C6, 'TC 1차'!B:B, "&lt;&gt;")</f>
        <v>16</v>
      </c>
      <c r="S6" s="30"/>
      <c r="T6" s="30"/>
    </row>
    <row r="7" spans="1:20" ht="13.2">
      <c r="A7" s="30"/>
      <c r="B7" s="44"/>
      <c r="C7" s="45" t="s">
        <v>30</v>
      </c>
      <c r="D7" s="46"/>
      <c r="E7" s="7">
        <f t="shared" ref="E7:F7" si="5">IFERROR(I7/H7,0)</f>
        <v>1</v>
      </c>
      <c r="F7" s="3">
        <f t="shared" si="5"/>
        <v>1</v>
      </c>
      <c r="G7" s="7">
        <f>IFERROR(I7/(R7-Q7),0)</f>
        <v>1</v>
      </c>
      <c r="H7" s="8">
        <f t="shared" ref="H7:R7" si="6">SUM(H6:H6)</f>
        <v>14</v>
      </c>
      <c r="I7" s="8">
        <f t="shared" si="6"/>
        <v>14</v>
      </c>
      <c r="J7" s="8">
        <f t="shared" si="6"/>
        <v>14</v>
      </c>
      <c r="K7" s="4">
        <f t="shared" si="6"/>
        <v>0</v>
      </c>
      <c r="L7" s="5">
        <f t="shared" si="6"/>
        <v>0</v>
      </c>
      <c r="M7" s="5">
        <f t="shared" si="6"/>
        <v>0</v>
      </c>
      <c r="N7" s="5">
        <f t="shared" si="6"/>
        <v>0</v>
      </c>
      <c r="O7" s="6">
        <f t="shared" si="6"/>
        <v>0</v>
      </c>
      <c r="P7" s="6">
        <f t="shared" si="6"/>
        <v>0</v>
      </c>
      <c r="Q7" s="6">
        <f t="shared" si="6"/>
        <v>2</v>
      </c>
      <c r="R7" s="9">
        <f t="shared" si="6"/>
        <v>16</v>
      </c>
      <c r="S7" s="30"/>
      <c r="T7" s="30"/>
    </row>
    <row r="8" spans="1:20" ht="22.8">
      <c r="A8" s="30"/>
      <c r="B8" s="47"/>
      <c r="C8" s="48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</row>
    <row r="9" spans="1:20" s="51" customFormat="1" ht="13.2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50"/>
      <c r="R9" s="49"/>
      <c r="S9" s="49"/>
      <c r="T9" s="49"/>
    </row>
    <row r="10" spans="1:20" s="51" customFormat="1" ht="13.2">
      <c r="A10" s="50"/>
      <c r="B10" s="10"/>
      <c r="C10" s="50"/>
      <c r="D10" s="52"/>
      <c r="E10" s="53"/>
      <c r="F10" s="53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s="51" customFormat="1" ht="13.2">
      <c r="A11" s="50"/>
      <c r="B11" s="10"/>
      <c r="C11" s="50"/>
      <c r="D11" s="52"/>
      <c r="E11" s="53"/>
      <c r="F11" s="53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s="51" customFormat="1" ht="13.2">
      <c r="A12" s="50"/>
      <c r="B12" s="10"/>
      <c r="C12" s="50"/>
      <c r="D12" s="52"/>
      <c r="E12" s="53"/>
      <c r="F12" s="53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s="51" customFormat="1" ht="13.2">
      <c r="A13" s="50"/>
      <c r="B13" s="10"/>
      <c r="C13" s="50"/>
      <c r="D13" s="52"/>
      <c r="E13" s="53"/>
      <c r="F13" s="53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s="51" customFormat="1" ht="13.2">
      <c r="A14" s="50"/>
      <c r="B14" s="10"/>
      <c r="C14" s="50"/>
      <c r="D14" s="52"/>
      <c r="E14" s="53"/>
      <c r="F14" s="53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0" s="51" customFormat="1" ht="13.2">
      <c r="A15" s="50"/>
      <c r="B15" s="10"/>
      <c r="C15" s="50"/>
      <c r="D15" s="52"/>
      <c r="E15" s="53"/>
      <c r="F15" s="53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s="51" customFormat="1" ht="13.2">
      <c r="A16" s="50"/>
      <c r="B16" s="10"/>
      <c r="C16" s="50"/>
      <c r="D16" s="52"/>
      <c r="E16" s="53"/>
      <c r="F16" s="53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s="51" customFormat="1" ht="13.2">
      <c r="A17" s="50"/>
      <c r="B17" s="10"/>
      <c r="C17" s="50"/>
      <c r="D17" s="52"/>
      <c r="E17" s="53"/>
      <c r="F17" s="53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s="51" customFormat="1" ht="13.2">
      <c r="A18" s="50"/>
      <c r="B18" s="10"/>
      <c r="C18" s="50"/>
      <c r="D18" s="52"/>
      <c r="E18" s="53"/>
      <c r="F18" s="53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</row>
    <row r="19" spans="1:20" s="51" customFormat="1" ht="13.2">
      <c r="A19" s="50"/>
      <c r="B19" s="10"/>
      <c r="C19" s="50"/>
      <c r="D19" s="52"/>
      <c r="E19" s="53"/>
      <c r="F19" s="53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s="51" customFormat="1" ht="13.2">
      <c r="A20" s="50"/>
      <c r="B20" s="10"/>
      <c r="C20" s="50"/>
      <c r="D20" s="52"/>
      <c r="E20" s="53"/>
      <c r="F20" s="53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s="51" customFormat="1" ht="13.2">
      <c r="A21" s="50"/>
      <c r="B21" s="10"/>
      <c r="C21" s="50"/>
      <c r="D21" s="52"/>
      <c r="E21" s="53"/>
      <c r="F21" s="53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</row>
    <row r="22" spans="1:20" s="51" customFormat="1" ht="13.2">
      <c r="A22" s="50"/>
      <c r="B22" s="10"/>
      <c r="C22" s="50"/>
      <c r="D22" s="52"/>
      <c r="E22" s="53"/>
      <c r="F22" s="53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s="51" customFormat="1" ht="13.2">
      <c r="A23" s="50"/>
      <c r="B23" s="10"/>
      <c r="C23" s="50"/>
      <c r="D23" s="52"/>
      <c r="E23" s="53"/>
      <c r="F23" s="53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s="51" customFormat="1" ht="13.2">
      <c r="A24" s="50"/>
      <c r="B24" s="10"/>
      <c r="C24" s="50"/>
      <c r="D24" s="52"/>
      <c r="E24" s="53"/>
      <c r="F24" s="53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</row>
    <row r="25" spans="1:20" s="51" customFormat="1" ht="13.2">
      <c r="A25" s="50"/>
      <c r="B25" s="10"/>
      <c r="C25" s="50"/>
      <c r="D25" s="52"/>
      <c r="E25" s="53"/>
      <c r="F25" s="53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 s="51" customFormat="1" ht="13.2">
      <c r="A26" s="50"/>
      <c r="B26" s="10"/>
      <c r="C26" s="50"/>
      <c r="D26" s="52"/>
      <c r="E26" s="53"/>
      <c r="F26" s="53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s="51" customFormat="1" ht="13.2">
      <c r="A27" s="50"/>
      <c r="B27" s="10"/>
      <c r="C27" s="50"/>
      <c r="D27" s="52"/>
      <c r="E27" s="53"/>
      <c r="F27" s="53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s="51" customFormat="1" ht="13.2">
      <c r="A28" s="50"/>
      <c r="B28" s="10"/>
      <c r="C28" s="50"/>
      <c r="D28" s="52"/>
      <c r="E28" s="53"/>
      <c r="F28" s="53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s="51" customFormat="1" ht="13.2">
      <c r="A29" s="50"/>
      <c r="B29" s="10"/>
      <c r="C29" s="50"/>
      <c r="D29" s="52"/>
      <c r="E29" s="53"/>
      <c r="F29" s="53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</row>
    <row r="30" spans="1:20" s="51" customFormat="1" ht="13.2">
      <c r="A30" s="50"/>
      <c r="B30" s="10"/>
      <c r="C30" s="50"/>
      <c r="D30" s="52"/>
      <c r="E30" s="53"/>
      <c r="F30" s="53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 s="51" customFormat="1" ht="13.2">
      <c r="A31" s="50"/>
      <c r="B31" s="10"/>
      <c r="C31" s="50"/>
      <c r="D31" s="52"/>
      <c r="E31" s="53"/>
      <c r="F31" s="53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s="51" customFormat="1" ht="13.2">
      <c r="A32" s="50"/>
      <c r="B32" s="10"/>
      <c r="C32" s="50"/>
      <c r="D32" s="52"/>
      <c r="E32" s="53"/>
      <c r="F32" s="53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s="51" customFormat="1" ht="13.2">
      <c r="A33" s="50"/>
      <c r="B33" s="10"/>
      <c r="C33" s="50"/>
      <c r="D33" s="52"/>
      <c r="E33" s="53"/>
      <c r="F33" s="53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s="51" customFormat="1" ht="13.2">
      <c r="A34" s="50"/>
      <c r="B34" s="10"/>
      <c r="C34" s="50"/>
      <c r="D34" s="52"/>
      <c r="E34" s="53"/>
      <c r="F34" s="53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</row>
    <row r="35" spans="1:20" s="51" customFormat="1" ht="13.2">
      <c r="A35" s="50"/>
      <c r="B35" s="10"/>
      <c r="C35" s="50"/>
      <c r="D35" s="52"/>
      <c r="E35" s="53"/>
      <c r="F35" s="53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 s="51" customFormat="1" ht="13.2">
      <c r="A36" s="50"/>
      <c r="B36" s="10"/>
      <c r="C36" s="50"/>
      <c r="D36" s="52"/>
      <c r="E36" s="53"/>
      <c r="F36" s="53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s="51" customFormat="1" ht="13.2">
      <c r="A37" s="50"/>
      <c r="B37" s="10"/>
      <c r="C37" s="50"/>
      <c r="D37" s="52"/>
      <c r="E37" s="53"/>
      <c r="F37" s="53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s="51" customFormat="1" ht="13.2">
      <c r="A38" s="50"/>
      <c r="B38" s="11"/>
      <c r="C38" s="50"/>
      <c r="D38" s="52"/>
      <c r="E38" s="53"/>
      <c r="F38" s="53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s="51" customFormat="1" ht="13.2">
      <c r="A39" s="50"/>
      <c r="B39" s="11"/>
      <c r="C39" s="50"/>
      <c r="D39" s="52"/>
      <c r="E39" s="53"/>
      <c r="F39" s="53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</row>
    <row r="40" spans="1:20" s="51" customFormat="1" ht="13.2">
      <c r="A40" s="50"/>
      <c r="B40" s="12"/>
      <c r="C40" s="54"/>
      <c r="D40" s="52"/>
      <c r="E40" s="53"/>
      <c r="F40" s="55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s="51" customFormat="1" ht="13.2">
      <c r="A41" s="50"/>
      <c r="B41" s="10"/>
      <c r="C41" s="50"/>
      <c r="D41" s="52"/>
      <c r="E41" s="53"/>
      <c r="F41" s="53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</row>
    <row r="42" spans="1:20" s="51" customFormat="1" ht="13.2">
      <c r="A42" s="50"/>
      <c r="B42" s="10"/>
      <c r="C42" s="50"/>
      <c r="D42" s="52"/>
      <c r="E42" s="53"/>
      <c r="F42" s="53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s="51" customFormat="1" ht="13.2">
      <c r="A43" s="54"/>
      <c r="B43" s="10"/>
      <c r="C43" s="50"/>
      <c r="D43" s="52"/>
      <c r="E43" s="53"/>
      <c r="F43" s="53"/>
      <c r="G43" s="50"/>
      <c r="H43" s="50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</row>
    <row r="44" spans="1:20" s="51" customFormat="1" ht="13.2">
      <c r="A44" s="50"/>
      <c r="B44" s="10"/>
      <c r="C44" s="50"/>
      <c r="D44" s="52"/>
      <c r="E44" s="53"/>
      <c r="F44" s="53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 s="51" customFormat="1" ht="13.2">
      <c r="A45" s="50"/>
      <c r="B45" s="10"/>
      <c r="C45" s="50"/>
      <c r="D45" s="52"/>
      <c r="E45" s="53"/>
      <c r="F45" s="53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 s="51" customFormat="1" ht="13.2">
      <c r="A46" s="50"/>
      <c r="B46" s="10"/>
      <c r="C46" s="50"/>
      <c r="D46" s="52"/>
      <c r="E46" s="53"/>
      <c r="F46" s="53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 s="51" customFormat="1" ht="13.2">
      <c r="A47" s="50"/>
      <c r="B47" s="10"/>
      <c r="C47" s="50"/>
      <c r="D47" s="52"/>
      <c r="E47" s="53"/>
      <c r="F47" s="53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s="51" customFormat="1" ht="13.2">
      <c r="A48" s="50"/>
      <c r="B48" s="10"/>
      <c r="C48" s="50"/>
      <c r="D48" s="52"/>
      <c r="E48" s="53"/>
      <c r="F48" s="53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s="51" customFormat="1" ht="13.2">
      <c r="A49" s="50"/>
      <c r="B49" s="10"/>
      <c r="C49" s="50"/>
      <c r="D49" s="52"/>
      <c r="E49" s="53"/>
      <c r="F49" s="53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s="51" customFormat="1" ht="13.2">
      <c r="A50" s="50"/>
      <c r="B50" s="10"/>
      <c r="C50" s="50"/>
      <c r="D50" s="52"/>
      <c r="E50" s="53"/>
      <c r="F50" s="53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s="51" customFormat="1" ht="13.2">
      <c r="A51" s="50"/>
      <c r="B51" s="10"/>
      <c r="C51" s="50"/>
      <c r="D51" s="52"/>
      <c r="E51" s="53"/>
      <c r="F51" s="53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s="51" customFormat="1" ht="13.2">
      <c r="A52" s="50"/>
      <c r="B52" s="10"/>
      <c r="C52" s="50"/>
      <c r="D52" s="52"/>
      <c r="E52" s="53"/>
      <c r="F52" s="53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s="51" customFormat="1" ht="13.2">
      <c r="A53" s="50"/>
      <c r="B53" s="10"/>
      <c r="C53" s="50"/>
      <c r="D53" s="52"/>
      <c r="E53" s="53"/>
      <c r="F53" s="53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s="51" customFormat="1" ht="13.2">
      <c r="A54" s="50"/>
      <c r="B54" s="11"/>
      <c r="C54" s="50"/>
      <c r="D54" s="52"/>
      <c r="E54" s="53"/>
      <c r="F54" s="53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s="51" customFormat="1" ht="13.2">
      <c r="A55" s="50"/>
      <c r="B55" s="10"/>
      <c r="C55" s="50"/>
      <c r="D55" s="52"/>
      <c r="E55" s="53"/>
      <c r="F55" s="53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s="51" customFormat="1" ht="13.2">
      <c r="A56" s="50"/>
      <c r="B56" s="10"/>
      <c r="C56" s="50"/>
      <c r="D56" s="52"/>
      <c r="E56" s="53"/>
      <c r="F56" s="53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s="51" customFormat="1" ht="13.2">
      <c r="A57" s="50"/>
      <c r="B57" s="10"/>
      <c r="C57" s="50"/>
      <c r="D57" s="52"/>
      <c r="E57" s="53"/>
      <c r="F57" s="53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s="51" customFormat="1" ht="13.2">
      <c r="A58" s="50"/>
      <c r="B58" s="10"/>
      <c r="C58" s="50"/>
      <c r="D58" s="52"/>
      <c r="E58" s="53"/>
      <c r="F58" s="53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s="51" customFormat="1" ht="13.2">
      <c r="A59" s="50"/>
      <c r="B59" s="10"/>
      <c r="C59" s="50"/>
      <c r="D59" s="52"/>
      <c r="E59" s="53"/>
      <c r="F59" s="53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s="51" customFormat="1" ht="13.2">
      <c r="A60" s="50"/>
      <c r="B60" s="10"/>
      <c r="C60" s="50"/>
      <c r="D60" s="52"/>
      <c r="E60" s="53"/>
      <c r="F60" s="53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s="51" customFormat="1" ht="13.2">
      <c r="A61" s="50"/>
      <c r="B61" s="10"/>
      <c r="C61" s="50"/>
      <c r="D61" s="52"/>
      <c r="E61" s="53"/>
      <c r="F61" s="53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s="51" customFormat="1" ht="13.2">
      <c r="A62" s="50"/>
      <c r="B62" s="10"/>
      <c r="C62" s="50"/>
      <c r="D62" s="52"/>
      <c r="E62" s="53"/>
      <c r="F62" s="53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s="51" customFormat="1" ht="13.2">
      <c r="A63" s="50"/>
      <c r="B63" s="10"/>
      <c r="C63" s="50"/>
      <c r="D63" s="52"/>
      <c r="E63" s="53"/>
      <c r="F63" s="53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s="51" customFormat="1" ht="13.2">
      <c r="A64" s="50"/>
      <c r="B64" s="10"/>
      <c r="C64" s="50"/>
      <c r="D64" s="52"/>
      <c r="E64" s="53"/>
      <c r="F64" s="53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s="51" customFormat="1" ht="13.2">
      <c r="A65" s="50"/>
      <c r="B65" s="10"/>
      <c r="C65" s="50"/>
      <c r="D65" s="52"/>
      <c r="E65" s="53"/>
      <c r="F65" s="53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s="51" customFormat="1" ht="13.2">
      <c r="A66" s="50"/>
      <c r="B66" s="10"/>
      <c r="C66" s="50"/>
      <c r="D66" s="52"/>
      <c r="E66" s="53"/>
      <c r="F66" s="53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</row>
    <row r="67" spans="1:20" s="51" customFormat="1" ht="13.2">
      <c r="A67" s="50"/>
      <c r="B67" s="10"/>
      <c r="C67" s="50"/>
      <c r="D67" s="52"/>
      <c r="E67" s="53"/>
      <c r="F67" s="53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</row>
    <row r="68" spans="1:20" s="51" customFormat="1" ht="13.2">
      <c r="A68" s="50"/>
      <c r="B68" s="10"/>
      <c r="C68" s="50"/>
      <c r="D68" s="52"/>
      <c r="E68" s="53"/>
      <c r="F68" s="53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</row>
    <row r="69" spans="1:20" s="51" customFormat="1" ht="13.2">
      <c r="A69" s="50"/>
      <c r="B69" s="10"/>
      <c r="C69" s="50"/>
      <c r="D69" s="52"/>
      <c r="E69" s="53"/>
      <c r="F69" s="53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</row>
    <row r="70" spans="1:20" s="51" customFormat="1" ht="13.2">
      <c r="A70" s="50"/>
      <c r="B70" s="10"/>
      <c r="C70" s="50"/>
      <c r="D70" s="52"/>
      <c r="E70" s="53"/>
      <c r="F70" s="53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</row>
    <row r="71" spans="1:20" s="51" customFormat="1" ht="13.2">
      <c r="A71" s="50"/>
      <c r="B71" s="10"/>
      <c r="C71" s="50"/>
      <c r="D71" s="52"/>
      <c r="E71" s="53"/>
      <c r="F71" s="53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</row>
    <row r="72" spans="1:20" s="51" customFormat="1" ht="13.2">
      <c r="A72" s="50"/>
      <c r="B72" s="10"/>
      <c r="C72" s="50"/>
      <c r="D72" s="52"/>
      <c r="E72" s="53"/>
      <c r="F72" s="53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</row>
    <row r="73" spans="1:20" s="51" customFormat="1" ht="13.2">
      <c r="A73" s="50"/>
      <c r="B73" s="10"/>
      <c r="C73" s="50"/>
      <c r="D73" s="52"/>
      <c r="E73" s="53"/>
      <c r="F73" s="53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</row>
    <row r="74" spans="1:20" s="51" customFormat="1" ht="13.2">
      <c r="A74" s="50"/>
      <c r="B74" s="10"/>
      <c r="C74" s="50"/>
      <c r="D74" s="52"/>
      <c r="E74" s="53"/>
      <c r="F74" s="53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</row>
    <row r="75" spans="1:20" s="51" customFormat="1" ht="13.2">
      <c r="A75" s="50"/>
      <c r="B75" s="10"/>
      <c r="C75" s="50"/>
      <c r="D75" s="52"/>
      <c r="E75" s="53"/>
      <c r="F75" s="53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</row>
    <row r="76" spans="1:20" s="51" customFormat="1" ht="13.2">
      <c r="A76" s="50"/>
      <c r="B76" s="10"/>
      <c r="C76" s="50"/>
      <c r="D76" s="52"/>
      <c r="E76" s="53"/>
      <c r="F76" s="53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</row>
    <row r="77" spans="1:20" s="51" customFormat="1" ht="13.2">
      <c r="A77" s="50"/>
      <c r="B77" s="10"/>
      <c r="C77" s="50"/>
      <c r="D77" s="52"/>
      <c r="E77" s="53"/>
      <c r="F77" s="53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</row>
    <row r="78" spans="1:20" s="51" customFormat="1" ht="13.2">
      <c r="A78" s="50"/>
      <c r="B78" s="10"/>
      <c r="C78" s="50"/>
      <c r="D78" s="52"/>
      <c r="E78" s="53"/>
      <c r="F78" s="53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</row>
    <row r="79" spans="1:20" s="51" customFormat="1" ht="13.2">
      <c r="A79" s="50"/>
      <c r="B79" s="11"/>
      <c r="C79" s="50"/>
      <c r="D79" s="52"/>
      <c r="E79" s="53"/>
      <c r="F79" s="53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</row>
    <row r="80" spans="1:20" s="51" customFormat="1" ht="13.2">
      <c r="A80" s="50"/>
      <c r="B80" s="11"/>
      <c r="C80" s="50"/>
      <c r="D80" s="52"/>
      <c r="E80" s="53"/>
      <c r="F80" s="53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</row>
    <row r="81" spans="1:20" s="51" customFormat="1" ht="13.2">
      <c r="A81" s="50"/>
      <c r="B81" s="11"/>
      <c r="C81" s="50"/>
      <c r="D81" s="52"/>
      <c r="E81" s="53"/>
      <c r="F81" s="53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</row>
    <row r="82" spans="1:20" s="51" customFormat="1" ht="13.2">
      <c r="A82" s="50"/>
      <c r="B82" s="11"/>
      <c r="C82" s="50"/>
      <c r="D82" s="52"/>
      <c r="E82" s="53"/>
      <c r="F82" s="53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</row>
    <row r="83" spans="1:20" s="51" customFormat="1" ht="13.2">
      <c r="A83" s="50"/>
      <c r="B83" s="11"/>
      <c r="C83" s="50"/>
      <c r="D83" s="52"/>
      <c r="E83" s="53"/>
      <c r="F83" s="53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</row>
    <row r="84" spans="1:20" s="51" customFormat="1" ht="13.2">
      <c r="A84" s="50"/>
      <c r="B84" s="11"/>
      <c r="C84" s="50"/>
      <c r="D84" s="52"/>
      <c r="E84" s="53"/>
      <c r="F84" s="53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</row>
    <row r="85" spans="1:20" s="51" customFormat="1" ht="13.2">
      <c r="A85" s="50"/>
      <c r="B85" s="10"/>
      <c r="C85" s="50"/>
      <c r="D85" s="52"/>
      <c r="E85" s="53"/>
      <c r="F85" s="53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</row>
    <row r="86" spans="1:20" s="51" customFormat="1" ht="13.2">
      <c r="A86" s="50"/>
      <c r="B86" s="10"/>
      <c r="C86" s="50"/>
      <c r="D86" s="52"/>
      <c r="E86" s="53"/>
      <c r="F86" s="53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</row>
    <row r="87" spans="1:20" s="51" customFormat="1" ht="13.2">
      <c r="A87" s="50"/>
      <c r="B87" s="10"/>
      <c r="C87" s="50"/>
      <c r="D87" s="52"/>
      <c r="E87" s="53"/>
      <c r="F87" s="53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</row>
    <row r="88" spans="1:20" s="51" customFormat="1" ht="13.2">
      <c r="A88" s="50"/>
      <c r="B88" s="10"/>
      <c r="C88" s="50"/>
      <c r="D88" s="52"/>
      <c r="E88" s="53"/>
      <c r="F88" s="53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</row>
    <row r="89" spans="1:20" s="51" customFormat="1" ht="13.2">
      <c r="A89" s="50"/>
      <c r="B89" s="10"/>
      <c r="C89" s="50"/>
      <c r="D89" s="52"/>
      <c r="E89" s="53"/>
      <c r="F89" s="53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</row>
    <row r="90" spans="1:20" s="51" customFormat="1" ht="13.2">
      <c r="A90" s="50"/>
      <c r="B90" s="10"/>
      <c r="C90" s="50"/>
      <c r="D90" s="52"/>
      <c r="E90" s="53"/>
      <c r="F90" s="53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</row>
    <row r="91" spans="1:20" s="51" customFormat="1" ht="13.2">
      <c r="A91" s="50"/>
      <c r="B91" s="10"/>
      <c r="C91" s="50"/>
      <c r="D91" s="52"/>
      <c r="E91" s="53"/>
      <c r="F91" s="53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</row>
    <row r="92" spans="1:20" s="51" customFormat="1" ht="13.2">
      <c r="A92" s="50"/>
      <c r="B92" s="13"/>
      <c r="C92" s="56"/>
      <c r="D92" s="52"/>
      <c r="E92" s="53"/>
      <c r="F92" s="57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</row>
    <row r="93" spans="1:20" s="51" customFormat="1" ht="13.2">
      <c r="A93" s="50"/>
      <c r="B93" s="13"/>
      <c r="C93" s="56"/>
      <c r="D93" s="52"/>
      <c r="E93" s="53"/>
      <c r="F93" s="57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</row>
    <row r="94" spans="1:20" s="51" customFormat="1" ht="13.2">
      <c r="A94" s="50"/>
      <c r="B94" s="13"/>
      <c r="C94" s="56"/>
      <c r="D94" s="52"/>
      <c r="E94" s="53"/>
      <c r="F94" s="57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</row>
    <row r="95" spans="1:20" s="51" customFormat="1" ht="13.2">
      <c r="A95" s="50"/>
      <c r="B95" s="10"/>
      <c r="C95" s="50"/>
      <c r="D95" s="52"/>
      <c r="E95" s="53"/>
      <c r="F95" s="53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</row>
    <row r="96" spans="1:20" s="51" customFormat="1" ht="13.2">
      <c r="A96" s="50"/>
      <c r="B96" s="10"/>
      <c r="C96" s="50"/>
      <c r="D96" s="52"/>
      <c r="E96" s="53"/>
      <c r="F96" s="53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</row>
    <row r="97" spans="1:20" s="51" customFormat="1" ht="13.2">
      <c r="A97" s="50"/>
      <c r="B97" s="10"/>
      <c r="C97" s="50"/>
      <c r="D97" s="52"/>
      <c r="E97" s="53"/>
      <c r="F97" s="53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</row>
    <row r="98" spans="1:20" s="51" customFormat="1" ht="13.2">
      <c r="A98" s="50"/>
      <c r="B98" s="10"/>
      <c r="C98" s="50"/>
      <c r="D98" s="52"/>
      <c r="E98" s="53"/>
      <c r="F98" s="53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</row>
    <row r="99" spans="1:20" s="51" customFormat="1" ht="13.2">
      <c r="A99" s="50"/>
      <c r="B99" s="13"/>
      <c r="C99" s="56"/>
      <c r="D99" s="52"/>
      <c r="E99" s="53"/>
      <c r="F99" s="57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</row>
    <row r="100" spans="1:20" s="51" customFormat="1" ht="13.2">
      <c r="A100" s="50"/>
      <c r="B100" s="14"/>
      <c r="C100" s="56"/>
      <c r="D100" s="52"/>
      <c r="E100" s="53"/>
      <c r="F100" s="57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</row>
    <row r="101" spans="1:20" s="51" customFormat="1" ht="13.2">
      <c r="A101" s="50"/>
      <c r="B101" s="10"/>
      <c r="C101" s="50"/>
      <c r="D101" s="52"/>
      <c r="E101" s="53"/>
      <c r="F101" s="53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</row>
    <row r="102" spans="1:20" s="51" customFormat="1" ht="13.2">
      <c r="A102" s="50"/>
      <c r="B102" s="10"/>
      <c r="C102" s="50"/>
      <c r="D102" s="52"/>
      <c r="E102" s="53"/>
      <c r="F102" s="53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</row>
    <row r="103" spans="1:20" s="51" customFormat="1" ht="13.2">
      <c r="A103" s="50"/>
      <c r="B103" s="10"/>
      <c r="C103" s="50"/>
      <c r="D103" s="52"/>
      <c r="E103" s="53"/>
      <c r="F103" s="53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</row>
    <row r="104" spans="1:20" s="51" customFormat="1" ht="13.2">
      <c r="A104" s="50"/>
      <c r="B104" s="10"/>
      <c r="C104" s="50"/>
      <c r="D104" s="52"/>
      <c r="E104" s="53"/>
      <c r="F104" s="53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</row>
    <row r="105" spans="1:20" s="51" customFormat="1" ht="13.2">
      <c r="A105" s="50"/>
      <c r="B105" s="10"/>
      <c r="C105" s="50"/>
      <c r="D105" s="52"/>
      <c r="E105" s="53"/>
      <c r="F105" s="53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</row>
    <row r="106" spans="1:20" s="51" customFormat="1" ht="13.2">
      <c r="A106" s="50"/>
      <c r="B106" s="10"/>
      <c r="C106" s="50"/>
      <c r="D106" s="52"/>
      <c r="E106" s="53"/>
      <c r="F106" s="53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</row>
    <row r="107" spans="1:20" s="51" customFormat="1" ht="13.2">
      <c r="A107" s="50"/>
      <c r="B107" s="10"/>
      <c r="C107" s="50"/>
      <c r="D107" s="52"/>
      <c r="E107" s="53"/>
      <c r="F107" s="53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</row>
    <row r="108" spans="1:20" s="51" customFormat="1" ht="13.2">
      <c r="A108" s="50"/>
      <c r="B108" s="10"/>
      <c r="C108" s="50"/>
      <c r="D108" s="52"/>
      <c r="E108" s="53"/>
      <c r="F108" s="53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</row>
    <row r="109" spans="1:20" s="51" customFormat="1" ht="13.2">
      <c r="A109" s="50"/>
      <c r="B109" s="10"/>
      <c r="C109" s="50"/>
      <c r="D109" s="52"/>
      <c r="E109" s="53"/>
      <c r="F109" s="53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</row>
    <row r="110" spans="1:20" s="51" customFormat="1" ht="13.2">
      <c r="A110" s="50"/>
      <c r="B110" s="10"/>
      <c r="C110" s="50"/>
      <c r="D110" s="52"/>
      <c r="E110" s="53"/>
      <c r="F110" s="53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</row>
    <row r="111" spans="1:20" s="51" customFormat="1" ht="13.2">
      <c r="A111" s="50"/>
      <c r="B111" s="10"/>
      <c r="C111" s="50"/>
      <c r="D111" s="52"/>
      <c r="E111" s="53"/>
      <c r="F111" s="53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</row>
    <row r="112" spans="1:20" s="51" customFormat="1" ht="13.2">
      <c r="A112" s="50"/>
      <c r="B112" s="10"/>
      <c r="C112" s="50"/>
      <c r="D112" s="52"/>
      <c r="E112" s="53"/>
      <c r="F112" s="53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</row>
    <row r="113" spans="1:20" s="51" customFormat="1" ht="13.2">
      <c r="A113" s="50"/>
      <c r="B113" s="10"/>
      <c r="C113" s="50"/>
      <c r="D113" s="52"/>
      <c r="E113" s="53"/>
      <c r="F113" s="53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</row>
    <row r="114" spans="1:20" s="51" customFormat="1" ht="13.2">
      <c r="A114" s="50"/>
      <c r="B114" s="10"/>
      <c r="C114" s="50"/>
      <c r="D114" s="52"/>
      <c r="E114" s="53"/>
      <c r="F114" s="53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</row>
    <row r="115" spans="1:20" s="51" customFormat="1" ht="13.2">
      <c r="A115" s="50"/>
      <c r="B115" s="10"/>
      <c r="C115" s="50"/>
      <c r="D115" s="52"/>
      <c r="E115" s="53"/>
      <c r="F115" s="53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</row>
    <row r="116" spans="1:20" s="51" customFormat="1" ht="13.2">
      <c r="A116" s="50"/>
      <c r="B116" s="10"/>
      <c r="C116" s="50"/>
      <c r="D116" s="52"/>
      <c r="E116" s="53"/>
      <c r="F116" s="53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</row>
    <row r="117" spans="1:20" s="51" customFormat="1" ht="13.2">
      <c r="A117" s="50"/>
      <c r="B117" s="10"/>
      <c r="C117" s="50"/>
      <c r="D117" s="52"/>
      <c r="E117" s="53"/>
      <c r="F117" s="53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</row>
    <row r="118" spans="1:20" s="51" customFormat="1" ht="13.2">
      <c r="A118" s="50"/>
      <c r="B118" s="10"/>
      <c r="C118" s="50"/>
      <c r="D118" s="52"/>
      <c r="E118" s="53"/>
      <c r="F118" s="53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</row>
    <row r="119" spans="1:20" s="51" customFormat="1" ht="13.2">
      <c r="A119" s="50"/>
      <c r="B119" s="10"/>
      <c r="C119" s="50"/>
      <c r="D119" s="52"/>
      <c r="E119" s="53"/>
      <c r="F119" s="53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</row>
    <row r="120" spans="1:20" s="51" customFormat="1" ht="13.2">
      <c r="A120" s="50"/>
      <c r="B120" s="10"/>
      <c r="C120" s="50"/>
      <c r="D120" s="52"/>
      <c r="E120" s="53"/>
      <c r="F120" s="53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</row>
    <row r="121" spans="1:20" s="51" customFormat="1" ht="13.2">
      <c r="A121" s="50"/>
      <c r="B121" s="10"/>
      <c r="C121" s="50"/>
      <c r="D121" s="52"/>
      <c r="E121" s="53"/>
      <c r="F121" s="53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</row>
    <row r="122" spans="1:20" s="51" customFormat="1" ht="13.2">
      <c r="A122" s="50"/>
      <c r="B122" s="10"/>
      <c r="C122" s="50"/>
      <c r="D122" s="52"/>
      <c r="E122" s="53"/>
      <c r="F122" s="53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</row>
    <row r="123" spans="1:20" s="51" customFormat="1" ht="13.2">
      <c r="A123" s="50"/>
      <c r="B123" s="10"/>
      <c r="C123" s="50"/>
      <c r="D123" s="52"/>
      <c r="E123" s="53"/>
      <c r="F123" s="53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</row>
    <row r="124" spans="1:20" s="51" customFormat="1" ht="13.2">
      <c r="A124" s="50"/>
      <c r="B124" s="10"/>
      <c r="C124" s="50"/>
      <c r="D124" s="52"/>
      <c r="E124" s="53"/>
      <c r="F124" s="53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</row>
    <row r="125" spans="1:20" s="51" customFormat="1" ht="13.2">
      <c r="A125" s="50"/>
      <c r="B125" s="10"/>
      <c r="C125" s="50"/>
      <c r="D125" s="52"/>
      <c r="E125" s="53"/>
      <c r="F125" s="53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</row>
    <row r="126" spans="1:20" s="51" customFormat="1" ht="13.2">
      <c r="A126" s="50"/>
      <c r="B126" s="10"/>
      <c r="C126" s="50"/>
      <c r="D126" s="52"/>
      <c r="E126" s="53"/>
      <c r="F126" s="53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</row>
    <row r="127" spans="1:20" s="51" customFormat="1" ht="13.2">
      <c r="A127" s="50"/>
      <c r="B127" s="10"/>
      <c r="C127" s="50"/>
      <c r="D127" s="52"/>
      <c r="E127" s="53"/>
      <c r="F127" s="53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</row>
    <row r="128" spans="1:20" s="51" customFormat="1" ht="13.2">
      <c r="A128" s="50"/>
      <c r="B128" s="10"/>
      <c r="C128" s="50"/>
      <c r="D128" s="52"/>
      <c r="E128" s="53"/>
      <c r="F128" s="53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</row>
    <row r="129" spans="1:20" s="51" customFormat="1" ht="13.2">
      <c r="A129" s="50"/>
      <c r="B129" s="10"/>
      <c r="C129" s="50"/>
      <c r="D129" s="52"/>
      <c r="E129" s="53"/>
      <c r="F129" s="53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</row>
    <row r="130" spans="1:20" s="51" customFormat="1" ht="13.2">
      <c r="A130" s="50"/>
      <c r="B130" s="10"/>
      <c r="C130" s="50"/>
      <c r="D130" s="52"/>
      <c r="E130" s="53"/>
      <c r="F130" s="53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</row>
    <row r="131" spans="1:20" s="51" customFormat="1" ht="13.2">
      <c r="A131" s="50"/>
      <c r="B131" s="10"/>
      <c r="C131" s="50"/>
      <c r="D131" s="52"/>
      <c r="E131" s="53"/>
      <c r="F131" s="53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</row>
    <row r="132" spans="1:20" s="51" customFormat="1" ht="13.2">
      <c r="A132" s="50"/>
      <c r="B132" s="10"/>
      <c r="C132" s="50"/>
      <c r="D132" s="52"/>
      <c r="E132" s="53"/>
      <c r="F132" s="53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</row>
    <row r="133" spans="1:20" s="51" customFormat="1" ht="13.2">
      <c r="A133" s="50"/>
      <c r="B133" s="10"/>
      <c r="C133" s="50"/>
      <c r="D133" s="52"/>
      <c r="E133" s="53"/>
      <c r="F133" s="53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</row>
    <row r="134" spans="1:20" s="51" customFormat="1" ht="13.2">
      <c r="A134" s="50"/>
      <c r="B134" s="10"/>
      <c r="C134" s="50"/>
      <c r="D134" s="52"/>
      <c r="E134" s="53"/>
      <c r="F134" s="53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</row>
    <row r="135" spans="1:20" s="51" customFormat="1" ht="13.2">
      <c r="A135" s="50"/>
      <c r="B135" s="10"/>
      <c r="C135" s="50"/>
      <c r="D135" s="52"/>
      <c r="E135" s="53"/>
      <c r="F135" s="53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</row>
    <row r="136" spans="1:20" s="51" customFormat="1" ht="13.2">
      <c r="A136" s="50"/>
      <c r="B136" s="10"/>
      <c r="C136" s="50"/>
      <c r="D136" s="52"/>
      <c r="E136" s="53"/>
      <c r="F136" s="53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</row>
    <row r="137" spans="1:20" s="51" customFormat="1" ht="13.2">
      <c r="A137" s="50"/>
      <c r="B137" s="10"/>
      <c r="C137" s="50"/>
      <c r="D137" s="52"/>
      <c r="E137" s="53"/>
      <c r="F137" s="53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</row>
    <row r="138" spans="1:20" s="51" customFormat="1" ht="13.2">
      <c r="A138" s="50"/>
      <c r="B138" s="10"/>
      <c r="C138" s="50"/>
      <c r="D138" s="52"/>
      <c r="E138" s="53"/>
      <c r="F138" s="53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</row>
    <row r="139" spans="1:20" s="51" customFormat="1" ht="13.2">
      <c r="A139" s="50"/>
      <c r="B139" s="10"/>
      <c r="C139" s="50"/>
      <c r="D139" s="52"/>
      <c r="E139" s="53"/>
      <c r="F139" s="53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</row>
    <row r="140" spans="1:20" s="51" customFormat="1" ht="13.2">
      <c r="A140" s="50"/>
      <c r="B140" s="10"/>
      <c r="C140" s="50"/>
      <c r="D140" s="52"/>
      <c r="E140" s="53"/>
      <c r="F140" s="53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</row>
    <row r="141" spans="1:20" s="51" customFormat="1" ht="13.2">
      <c r="A141" s="50"/>
      <c r="B141" s="10"/>
      <c r="C141" s="50"/>
      <c r="D141" s="52"/>
      <c r="E141" s="53"/>
      <c r="F141" s="53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</row>
    <row r="142" spans="1:20" s="51" customFormat="1" ht="13.2">
      <c r="A142" s="50"/>
      <c r="B142" s="10"/>
      <c r="C142" s="50"/>
      <c r="D142" s="52"/>
      <c r="E142" s="53"/>
      <c r="F142" s="53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</row>
    <row r="143" spans="1:20" s="51" customFormat="1" ht="13.2">
      <c r="A143" s="50"/>
      <c r="B143" s="10"/>
      <c r="C143" s="50"/>
      <c r="D143" s="52"/>
      <c r="E143" s="53"/>
      <c r="F143" s="53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</row>
    <row r="144" spans="1:20" s="51" customFormat="1" ht="13.2">
      <c r="A144" s="50"/>
      <c r="B144" s="10"/>
      <c r="C144" s="50"/>
      <c r="D144" s="52"/>
      <c r="E144" s="53"/>
      <c r="F144" s="53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</row>
    <row r="145" spans="1:20" s="51" customFormat="1" ht="13.2">
      <c r="A145" s="50"/>
      <c r="B145" s="10"/>
      <c r="C145" s="50"/>
      <c r="D145" s="52"/>
      <c r="E145" s="53"/>
      <c r="F145" s="53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</row>
    <row r="146" spans="1:20" s="51" customFormat="1" ht="13.2">
      <c r="A146" s="50"/>
      <c r="B146" s="10"/>
      <c r="C146" s="50"/>
      <c r="D146" s="52"/>
      <c r="E146" s="53"/>
      <c r="F146" s="53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</row>
    <row r="147" spans="1:20" s="51" customFormat="1" ht="13.2">
      <c r="A147" s="50"/>
      <c r="B147" s="10"/>
      <c r="C147" s="50"/>
      <c r="D147" s="52"/>
      <c r="E147" s="53"/>
      <c r="F147" s="53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</row>
    <row r="148" spans="1:20" s="51" customFormat="1" ht="13.2">
      <c r="A148" s="50"/>
      <c r="B148" s="10"/>
      <c r="C148" s="50"/>
      <c r="D148" s="52"/>
      <c r="E148" s="53"/>
      <c r="F148" s="53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</row>
    <row r="149" spans="1:20" s="51" customFormat="1" ht="13.2">
      <c r="A149" s="50"/>
      <c r="B149" s="10"/>
      <c r="C149" s="50"/>
      <c r="D149" s="52"/>
      <c r="E149" s="53"/>
      <c r="F149" s="53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</row>
    <row r="150" spans="1:20" s="51" customFormat="1" ht="13.2">
      <c r="A150" s="50"/>
      <c r="B150" s="10"/>
      <c r="C150" s="50"/>
      <c r="D150" s="52"/>
      <c r="E150" s="53"/>
      <c r="F150" s="53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</row>
    <row r="151" spans="1:20" s="51" customFormat="1" ht="13.2">
      <c r="A151" s="50"/>
      <c r="B151" s="10"/>
      <c r="C151" s="50"/>
      <c r="D151" s="52"/>
      <c r="E151" s="53"/>
      <c r="F151" s="53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</row>
    <row r="152" spans="1:20" s="51" customFormat="1" ht="13.2">
      <c r="A152" s="50"/>
      <c r="B152" s="10"/>
      <c r="C152" s="50"/>
      <c r="D152" s="52"/>
      <c r="E152" s="53"/>
      <c r="F152" s="53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</row>
    <row r="153" spans="1:20" s="51" customFormat="1" ht="13.2">
      <c r="A153" s="50"/>
      <c r="B153" s="10"/>
      <c r="C153" s="50"/>
      <c r="D153" s="52"/>
      <c r="E153" s="53"/>
      <c r="F153" s="53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</row>
    <row r="154" spans="1:20" s="51" customFormat="1" ht="13.2">
      <c r="A154" s="50"/>
      <c r="B154" s="10"/>
      <c r="C154" s="50"/>
      <c r="D154" s="52"/>
      <c r="E154" s="53"/>
      <c r="F154" s="53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</row>
    <row r="155" spans="1:20" s="51" customFormat="1" ht="13.2">
      <c r="A155" s="50"/>
      <c r="B155" s="10"/>
      <c r="C155" s="50"/>
      <c r="D155" s="52"/>
      <c r="E155" s="53"/>
      <c r="F155" s="53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</row>
    <row r="156" spans="1:20" s="51" customFormat="1" ht="13.2">
      <c r="A156" s="50"/>
      <c r="B156" s="10"/>
      <c r="C156" s="50"/>
      <c r="D156" s="52"/>
      <c r="E156" s="53"/>
      <c r="F156" s="53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</row>
    <row r="157" spans="1:20" s="51" customFormat="1" ht="13.2">
      <c r="A157" s="50"/>
      <c r="B157" s="10"/>
      <c r="C157" s="50"/>
      <c r="D157" s="52"/>
      <c r="E157" s="53"/>
      <c r="F157" s="53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</row>
    <row r="158" spans="1:20" s="51" customFormat="1" ht="13.2">
      <c r="A158" s="50"/>
      <c r="B158" s="10"/>
      <c r="C158" s="50"/>
      <c r="D158" s="52"/>
      <c r="E158" s="53"/>
      <c r="F158" s="53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</row>
    <row r="159" spans="1:20" s="51" customFormat="1" ht="13.2">
      <c r="A159" s="50"/>
      <c r="B159" s="10"/>
      <c r="C159" s="50"/>
      <c r="D159" s="52"/>
      <c r="E159" s="53"/>
      <c r="F159" s="53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</row>
    <row r="160" spans="1:20" s="51" customFormat="1" ht="13.2">
      <c r="A160" s="50"/>
      <c r="B160" s="10"/>
      <c r="C160" s="50"/>
      <c r="D160" s="52"/>
      <c r="E160" s="53"/>
      <c r="F160" s="53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</row>
    <row r="161" spans="1:20" s="51" customFormat="1" ht="13.2">
      <c r="A161" s="50"/>
      <c r="B161" s="10"/>
      <c r="C161" s="50"/>
      <c r="D161" s="52"/>
      <c r="E161" s="53"/>
      <c r="F161" s="53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</row>
    <row r="162" spans="1:20" s="51" customFormat="1" ht="13.2">
      <c r="A162" s="50"/>
      <c r="B162" s="10"/>
      <c r="C162" s="50"/>
      <c r="D162" s="52"/>
      <c r="E162" s="53"/>
      <c r="F162" s="53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</row>
    <row r="163" spans="1:20" s="51" customFormat="1" ht="13.2">
      <c r="A163" s="50"/>
      <c r="B163" s="10"/>
      <c r="C163" s="50"/>
      <c r="D163" s="52"/>
      <c r="E163" s="53"/>
      <c r="F163" s="53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</row>
    <row r="164" spans="1:20" s="51" customFormat="1" ht="13.2">
      <c r="A164" s="50"/>
      <c r="B164" s="10"/>
      <c r="C164" s="50"/>
      <c r="D164" s="52"/>
      <c r="E164" s="53"/>
      <c r="F164" s="53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</row>
    <row r="165" spans="1:20" s="51" customFormat="1" ht="13.2">
      <c r="A165" s="50"/>
      <c r="B165" s="10"/>
      <c r="C165" s="50"/>
      <c r="D165" s="52"/>
      <c r="E165" s="53"/>
      <c r="F165" s="53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</row>
    <row r="166" spans="1:20" s="51" customFormat="1" ht="13.2">
      <c r="A166" s="50"/>
      <c r="B166" s="10"/>
      <c r="C166" s="50"/>
      <c r="D166" s="52"/>
      <c r="E166" s="53"/>
      <c r="F166" s="53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</row>
    <row r="167" spans="1:20" s="51" customFormat="1" ht="13.2">
      <c r="A167" s="50"/>
      <c r="B167" s="10"/>
      <c r="C167" s="50"/>
      <c r="D167" s="52"/>
      <c r="E167" s="53"/>
      <c r="F167" s="53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</row>
    <row r="168" spans="1:20" s="51" customFormat="1" ht="13.2">
      <c r="A168" s="50"/>
      <c r="B168" s="10"/>
      <c r="C168" s="50"/>
      <c r="D168" s="52"/>
      <c r="E168" s="53"/>
      <c r="F168" s="53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</row>
    <row r="169" spans="1:20" s="51" customFormat="1" ht="13.2">
      <c r="A169" s="50"/>
      <c r="B169" s="10"/>
      <c r="C169" s="50"/>
      <c r="D169" s="52"/>
      <c r="E169" s="53"/>
      <c r="F169" s="53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</row>
    <row r="170" spans="1:20" s="51" customFormat="1" ht="13.2">
      <c r="A170" s="50"/>
      <c r="B170" s="10"/>
      <c r="C170" s="50"/>
      <c r="D170" s="52"/>
      <c r="E170" s="53"/>
      <c r="F170" s="53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</row>
    <row r="171" spans="1:20" s="51" customFormat="1" ht="13.2">
      <c r="A171" s="50"/>
      <c r="B171" s="10"/>
      <c r="C171" s="50"/>
      <c r="D171" s="52"/>
      <c r="E171" s="53"/>
      <c r="F171" s="53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</row>
    <row r="172" spans="1:20" s="51" customFormat="1" ht="13.2">
      <c r="A172" s="50"/>
      <c r="B172" s="10"/>
      <c r="C172" s="50"/>
      <c r="D172" s="52"/>
      <c r="E172" s="53"/>
      <c r="F172" s="53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</row>
    <row r="173" spans="1:20" s="51" customFormat="1" ht="13.2">
      <c r="A173" s="50"/>
      <c r="B173" s="10"/>
      <c r="C173" s="50"/>
      <c r="D173" s="52"/>
      <c r="E173" s="53"/>
      <c r="F173" s="53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</row>
    <row r="174" spans="1:20" s="51" customFormat="1" ht="13.2">
      <c r="A174" s="50"/>
      <c r="B174" s="10"/>
      <c r="C174" s="50"/>
      <c r="D174" s="52"/>
      <c r="E174" s="53"/>
      <c r="F174" s="53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</row>
    <row r="175" spans="1:20" s="51" customFormat="1" ht="13.2">
      <c r="A175" s="50"/>
      <c r="B175" s="50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</row>
    <row r="176" spans="1:20" s="51" customFormat="1" ht="13.2">
      <c r="A176" s="50"/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</row>
    <row r="177" spans="1:20" s="51" customFormat="1" ht="13.2">
      <c r="A177" s="50"/>
      <c r="B177" s="50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</row>
    <row r="178" spans="1:20" s="51" customFormat="1" ht="13.2">
      <c r="A178" s="50"/>
      <c r="B178" s="50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</row>
    <row r="179" spans="1:20" s="51" customFormat="1" ht="13.2">
      <c r="A179" s="50"/>
      <c r="B179" s="50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</row>
    <row r="180" spans="1:20" s="51" customFormat="1" ht="13.2">
      <c r="A180" s="50"/>
      <c r="B180" s="50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</row>
    <row r="181" spans="1:20" s="51" customFormat="1" ht="13.2">
      <c r="A181" s="50"/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</row>
    <row r="182" spans="1:20" s="51" customFormat="1" ht="13.2">
      <c r="A182" s="50"/>
      <c r="B182" s="50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</row>
    <row r="183" spans="1:20" s="51" customFormat="1" ht="13.2">
      <c r="A183" s="50"/>
      <c r="B183" s="50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</row>
    <row r="184" spans="1:20" s="51" customFormat="1" ht="13.2">
      <c r="A184" s="50"/>
      <c r="B184" s="50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</row>
    <row r="185" spans="1:20" s="51" customFormat="1" ht="13.2">
      <c r="A185" s="50"/>
      <c r="B185" s="50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</row>
    <row r="186" spans="1:20" s="51" customFormat="1" ht="13.2">
      <c r="A186" s="50"/>
      <c r="B186" s="50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</row>
    <row r="187" spans="1:20" s="51" customFormat="1" ht="13.2">
      <c r="A187" s="50"/>
      <c r="B187" s="50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</row>
    <row r="188" spans="1:20" s="51" customFormat="1" ht="13.2">
      <c r="A188" s="50"/>
      <c r="B188" s="50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</row>
    <row r="189" spans="1:20" s="51" customFormat="1" ht="13.2">
      <c r="A189" s="50"/>
      <c r="B189" s="50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</row>
    <row r="190" spans="1:20" s="51" customFormat="1" ht="13.2">
      <c r="A190" s="50"/>
      <c r="B190" s="50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</row>
    <row r="191" spans="1:20" s="51" customFormat="1" ht="13.2">
      <c r="A191" s="50"/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</row>
    <row r="192" spans="1:20" s="51" customFormat="1" ht="13.2">
      <c r="A192" s="50"/>
      <c r="B192" s="50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</row>
    <row r="193" spans="1:20" s="51" customFormat="1" ht="13.2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</row>
    <row r="194" spans="1:20" s="51" customFormat="1" ht="13.2">
      <c r="A194" s="50"/>
      <c r="B194" s="50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</row>
    <row r="195" spans="1:20" s="51" customFormat="1" ht="13.2">
      <c r="A195" s="50"/>
      <c r="B195" s="50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</row>
    <row r="196" spans="1:20" s="51" customFormat="1" ht="13.2">
      <c r="A196" s="50"/>
      <c r="B196" s="50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</row>
    <row r="197" spans="1:20" s="51" customFormat="1" ht="13.2">
      <c r="A197" s="50"/>
      <c r="B197" s="50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</row>
    <row r="198" spans="1:20" s="51" customFormat="1" ht="13.2">
      <c r="A198" s="50"/>
      <c r="B198" s="50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</row>
    <row r="199" spans="1:20" s="51" customFormat="1" ht="13.2">
      <c r="A199" s="50"/>
      <c r="B199" s="50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</row>
    <row r="200" spans="1:20" s="51" customFormat="1" ht="13.2">
      <c r="A200" s="50"/>
      <c r="B200" s="50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</row>
    <row r="201" spans="1:20" s="51" customFormat="1" ht="13.2">
      <c r="A201" s="50"/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</row>
    <row r="202" spans="1:20" s="51" customFormat="1" ht="13.2">
      <c r="A202" s="50"/>
      <c r="B202" s="50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</row>
    <row r="203" spans="1:20" s="51" customFormat="1" ht="13.2">
      <c r="A203" s="50"/>
      <c r="B203" s="50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</row>
    <row r="204" spans="1:20" s="51" customFormat="1" ht="13.2">
      <c r="A204" s="50"/>
      <c r="B204" s="50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</row>
    <row r="205" spans="1:20" s="51" customFormat="1" ht="13.2">
      <c r="A205" s="50"/>
      <c r="B205" s="50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</row>
    <row r="206" spans="1:20" s="51" customFormat="1" ht="13.2">
      <c r="A206" s="50"/>
      <c r="B206" s="50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</row>
    <row r="207" spans="1:20" s="51" customFormat="1" ht="13.2">
      <c r="A207" s="50"/>
      <c r="B207" s="50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</row>
    <row r="208" spans="1:20" s="51" customFormat="1" ht="13.2">
      <c r="A208" s="50"/>
      <c r="B208" s="50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</row>
    <row r="209" spans="1:20" s="51" customFormat="1" ht="13.2">
      <c r="A209" s="50"/>
      <c r="B209" s="50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</row>
    <row r="210" spans="1:20" s="51" customFormat="1" ht="13.2">
      <c r="A210" s="50"/>
      <c r="B210" s="50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</row>
    <row r="211" spans="1:20" s="51" customFormat="1" ht="13.2">
      <c r="A211" s="50"/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</row>
    <row r="212" spans="1:20" s="51" customFormat="1" ht="13.2">
      <c r="A212" s="50"/>
      <c r="B212" s="50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</row>
    <row r="213" spans="1:20" s="51" customFormat="1" ht="13.2">
      <c r="A213" s="50"/>
      <c r="B213" s="50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</row>
    <row r="214" spans="1:20" s="51" customFormat="1" ht="13.2">
      <c r="A214" s="50"/>
      <c r="B214" s="50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</row>
    <row r="215" spans="1:20" s="51" customFormat="1" ht="13.2">
      <c r="A215" s="50"/>
      <c r="B215" s="50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</row>
    <row r="216" spans="1:20" s="51" customFormat="1" ht="13.2">
      <c r="A216" s="50"/>
      <c r="B216" s="50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</row>
    <row r="217" spans="1:20" s="51" customFormat="1" ht="13.2">
      <c r="A217" s="50"/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</row>
    <row r="218" spans="1:20" s="51" customFormat="1" ht="13.2">
      <c r="A218" s="50"/>
      <c r="B218" s="50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</row>
    <row r="219" spans="1:20" s="51" customFormat="1" ht="13.2">
      <c r="A219" s="50"/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</row>
    <row r="220" spans="1:20" s="51" customFormat="1" ht="13.2">
      <c r="A220" s="50"/>
      <c r="B220" s="50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</row>
    <row r="221" spans="1:20" s="51" customFormat="1" ht="13.2">
      <c r="A221" s="50"/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</row>
    <row r="222" spans="1:20" s="51" customFormat="1" ht="13.2">
      <c r="A222" s="50"/>
      <c r="B222" s="50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</row>
    <row r="223" spans="1:20" s="51" customFormat="1" ht="13.2">
      <c r="A223" s="50"/>
      <c r="B223" s="50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</row>
    <row r="224" spans="1:20" s="51" customFormat="1" ht="13.2">
      <c r="A224" s="50"/>
      <c r="B224" s="50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</row>
    <row r="225" spans="1:20" s="51" customFormat="1" ht="13.2">
      <c r="A225" s="50"/>
      <c r="B225" s="50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</row>
    <row r="226" spans="1:20" s="51" customFormat="1" ht="13.2">
      <c r="A226" s="50"/>
      <c r="B226" s="50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</row>
    <row r="227" spans="1:20" s="51" customFormat="1" ht="13.2">
      <c r="A227" s="50"/>
      <c r="B227" s="50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</row>
    <row r="228" spans="1:20" s="51" customFormat="1" ht="13.2">
      <c r="A228" s="50"/>
      <c r="B228" s="50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</row>
    <row r="229" spans="1:20" s="51" customFormat="1" ht="13.2">
      <c r="A229" s="50"/>
      <c r="B229" s="50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</row>
    <row r="230" spans="1:20" s="51" customFormat="1" ht="13.2">
      <c r="A230" s="50"/>
      <c r="B230" s="50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</row>
    <row r="231" spans="1:20" s="51" customFormat="1" ht="13.2">
      <c r="A231" s="50"/>
      <c r="B231" s="50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</row>
    <row r="232" spans="1:20" s="51" customFormat="1" ht="13.2">
      <c r="A232" s="50"/>
      <c r="B232" s="50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</row>
    <row r="233" spans="1:20" s="51" customFormat="1" ht="13.2">
      <c r="A233" s="50"/>
      <c r="B233" s="50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</row>
    <row r="234" spans="1:20" s="51" customFormat="1" ht="13.2">
      <c r="A234" s="50"/>
      <c r="B234" s="50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</row>
    <row r="235" spans="1:20" s="51" customFormat="1" ht="13.2">
      <c r="A235" s="50"/>
      <c r="B235" s="50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</row>
    <row r="236" spans="1:20" s="51" customFormat="1" ht="13.2">
      <c r="A236" s="50"/>
      <c r="B236" s="50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</row>
    <row r="237" spans="1:20" s="51" customFormat="1" ht="13.2">
      <c r="A237" s="50"/>
      <c r="B237" s="50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</row>
    <row r="238" spans="1:20" s="51" customFormat="1" ht="13.2">
      <c r="A238" s="50"/>
      <c r="B238" s="50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</row>
    <row r="239" spans="1:20" s="51" customFormat="1" ht="13.2">
      <c r="A239" s="50"/>
      <c r="B239" s="50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</row>
    <row r="240" spans="1:20" s="51" customFormat="1" ht="13.2">
      <c r="A240" s="50"/>
      <c r="B240" s="50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</row>
    <row r="241" spans="1:20" s="51" customFormat="1" ht="13.2">
      <c r="A241" s="50"/>
      <c r="B241" s="50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</row>
    <row r="242" spans="1:20" s="51" customFormat="1" ht="13.2">
      <c r="A242" s="50"/>
      <c r="B242" s="50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</row>
    <row r="243" spans="1:20" s="51" customFormat="1" ht="13.2">
      <c r="A243" s="50"/>
      <c r="B243" s="50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</row>
    <row r="244" spans="1:20" s="51" customFormat="1" ht="13.2">
      <c r="A244" s="50"/>
      <c r="B244" s="50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</row>
    <row r="245" spans="1:20" s="51" customFormat="1" ht="13.2">
      <c r="A245" s="50"/>
      <c r="B245" s="50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</row>
    <row r="246" spans="1:20" s="51" customFormat="1" ht="13.2">
      <c r="A246" s="50"/>
      <c r="B246" s="50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</row>
    <row r="247" spans="1:20" s="51" customFormat="1" ht="13.2">
      <c r="A247" s="50"/>
      <c r="B247" s="50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</row>
    <row r="248" spans="1:20" s="51" customFormat="1" ht="13.2">
      <c r="A248" s="50"/>
      <c r="B248" s="50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</row>
    <row r="249" spans="1:20" s="51" customFormat="1" ht="13.2">
      <c r="A249" s="50"/>
      <c r="B249" s="50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</row>
    <row r="250" spans="1:20" s="51" customFormat="1" ht="13.2">
      <c r="A250" s="50"/>
      <c r="B250" s="50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</row>
    <row r="251" spans="1:20" s="51" customFormat="1" ht="13.2">
      <c r="A251" s="50"/>
      <c r="B251" s="50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</row>
    <row r="252" spans="1:20" s="51" customFormat="1" ht="13.2">
      <c r="A252" s="50"/>
      <c r="B252" s="50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</row>
    <row r="253" spans="1:20" s="51" customFormat="1" ht="13.2">
      <c r="A253" s="50"/>
      <c r="B253" s="50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</row>
    <row r="254" spans="1:20" s="51" customFormat="1" ht="13.2">
      <c r="A254" s="50"/>
      <c r="B254" s="50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</row>
    <row r="255" spans="1:20" s="51" customFormat="1" ht="13.2">
      <c r="A255" s="50"/>
      <c r="B255" s="50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</row>
    <row r="256" spans="1:20" s="51" customFormat="1" ht="13.2">
      <c r="A256" s="50"/>
      <c r="B256" s="50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</row>
    <row r="257" spans="1:20" s="51" customFormat="1" ht="13.2">
      <c r="A257" s="50"/>
      <c r="B257" s="50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</row>
    <row r="258" spans="1:20" s="51" customFormat="1" ht="13.2">
      <c r="A258" s="50"/>
      <c r="B258" s="50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</row>
    <row r="259" spans="1:20" s="51" customFormat="1" ht="13.2">
      <c r="A259" s="50"/>
      <c r="B259" s="50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</row>
    <row r="260" spans="1:20" s="51" customFormat="1" ht="13.2">
      <c r="A260" s="50"/>
      <c r="B260" s="50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</row>
    <row r="261" spans="1:20" s="51" customFormat="1" ht="13.2">
      <c r="A261" s="50"/>
      <c r="B261" s="50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</row>
    <row r="262" spans="1:20" s="51" customFormat="1" ht="13.2">
      <c r="A262" s="50"/>
      <c r="B262" s="50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</row>
    <row r="263" spans="1:20" s="51" customFormat="1" ht="13.2">
      <c r="A263" s="50"/>
      <c r="B263" s="50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</row>
    <row r="264" spans="1:20" s="51" customFormat="1" ht="13.2">
      <c r="A264" s="50"/>
      <c r="B264" s="50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</row>
    <row r="265" spans="1:20" s="51" customFormat="1" ht="13.2">
      <c r="A265" s="50"/>
      <c r="B265" s="50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</row>
    <row r="266" spans="1:20" s="51" customFormat="1" ht="13.2">
      <c r="A266" s="50"/>
      <c r="B266" s="50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</row>
    <row r="267" spans="1:20" s="51" customFormat="1" ht="13.2">
      <c r="A267" s="50"/>
      <c r="B267" s="50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</row>
    <row r="268" spans="1:20" s="51" customFormat="1" ht="13.2">
      <c r="A268" s="50"/>
      <c r="B268" s="50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</row>
    <row r="269" spans="1:20" s="51" customFormat="1" ht="13.2">
      <c r="A269" s="50"/>
      <c r="B269" s="50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</row>
    <row r="270" spans="1:20" s="51" customFormat="1" ht="13.2">
      <c r="A270" s="50"/>
      <c r="B270" s="50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</row>
    <row r="271" spans="1:20" s="51" customFormat="1" ht="13.2">
      <c r="A271" s="50"/>
      <c r="B271" s="50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</row>
    <row r="272" spans="1:20" s="51" customFormat="1" ht="13.2">
      <c r="A272" s="50"/>
      <c r="B272" s="50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</row>
    <row r="273" spans="1:20" s="51" customFormat="1" ht="13.2">
      <c r="A273" s="50"/>
      <c r="B273" s="50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</row>
    <row r="274" spans="1:20" s="51" customFormat="1" ht="13.2">
      <c r="A274" s="50"/>
      <c r="B274" s="50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</row>
    <row r="275" spans="1:20" s="51" customFormat="1" ht="13.2">
      <c r="A275" s="50"/>
      <c r="B275" s="50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</row>
    <row r="276" spans="1:20" s="51" customFormat="1" ht="13.2">
      <c r="A276" s="50"/>
      <c r="B276" s="50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</row>
    <row r="277" spans="1:20" s="51" customFormat="1" ht="13.2">
      <c r="A277" s="50"/>
      <c r="B277" s="50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</row>
    <row r="278" spans="1:20" s="51" customFormat="1" ht="13.2">
      <c r="A278" s="50"/>
      <c r="B278" s="50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</row>
    <row r="279" spans="1:20" s="51" customFormat="1" ht="13.2">
      <c r="A279" s="50"/>
      <c r="B279" s="50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</row>
    <row r="280" spans="1:20" s="51" customFormat="1" ht="13.2">
      <c r="A280" s="50"/>
      <c r="B280" s="50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</row>
    <row r="281" spans="1:20" s="51" customFormat="1" ht="13.2">
      <c r="A281" s="50"/>
      <c r="B281" s="50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</row>
    <row r="282" spans="1:20" s="51" customFormat="1" ht="13.2">
      <c r="A282" s="50"/>
      <c r="B282" s="50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</row>
    <row r="283" spans="1:20" s="51" customFormat="1" ht="13.2">
      <c r="A283" s="50"/>
      <c r="B283" s="50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</row>
    <row r="284" spans="1:20" s="51" customFormat="1" ht="13.2">
      <c r="A284" s="50"/>
      <c r="B284" s="50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</row>
    <row r="285" spans="1:20" s="51" customFormat="1" ht="13.2">
      <c r="A285" s="50"/>
      <c r="B285" s="50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</row>
    <row r="286" spans="1:20" s="51" customFormat="1" ht="13.2">
      <c r="A286" s="50"/>
      <c r="B286" s="50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</row>
    <row r="287" spans="1:20" s="51" customFormat="1" ht="13.2">
      <c r="A287" s="50"/>
      <c r="B287" s="50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</row>
    <row r="288" spans="1:20" s="51" customFormat="1" ht="13.2">
      <c r="A288" s="50"/>
      <c r="B288" s="50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</row>
    <row r="289" spans="1:20" s="51" customFormat="1" ht="13.2">
      <c r="A289" s="50"/>
      <c r="B289" s="50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</row>
    <row r="290" spans="1:20" s="51" customFormat="1" ht="13.2">
      <c r="A290" s="50"/>
      <c r="B290" s="50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</row>
    <row r="291" spans="1:20" s="51" customFormat="1" ht="13.2">
      <c r="A291" s="50"/>
      <c r="B291" s="50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</row>
    <row r="292" spans="1:20" s="51" customFormat="1" ht="13.2">
      <c r="A292" s="50"/>
      <c r="B292" s="50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</row>
    <row r="293" spans="1:20" s="51" customFormat="1" ht="13.2">
      <c r="A293" s="50"/>
      <c r="B293" s="50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</row>
    <row r="294" spans="1:20" s="51" customFormat="1" ht="13.2">
      <c r="A294" s="50"/>
      <c r="B294" s="50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</row>
    <row r="295" spans="1:20" s="51" customFormat="1" ht="13.2">
      <c r="A295" s="50"/>
      <c r="B295" s="50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</row>
    <row r="296" spans="1:20" s="51" customFormat="1" ht="13.2">
      <c r="A296" s="50"/>
      <c r="B296" s="50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</row>
    <row r="297" spans="1:20" s="51" customFormat="1" ht="13.2">
      <c r="A297" s="50"/>
      <c r="B297" s="50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</row>
    <row r="298" spans="1:20" s="51" customFormat="1" ht="13.2">
      <c r="A298" s="50"/>
      <c r="B298" s="50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</row>
    <row r="299" spans="1:20" s="51" customFormat="1" ht="13.2">
      <c r="A299" s="50"/>
      <c r="B299" s="50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</row>
    <row r="300" spans="1:20" s="51" customFormat="1" ht="13.2">
      <c r="A300" s="50"/>
      <c r="B300" s="50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</row>
    <row r="301" spans="1:20" s="51" customFormat="1" ht="13.2">
      <c r="A301" s="50"/>
      <c r="B301" s="50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</row>
    <row r="302" spans="1:20" s="51" customFormat="1" ht="13.2">
      <c r="A302" s="50"/>
      <c r="B302" s="50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</row>
    <row r="303" spans="1:20" s="51" customFormat="1" ht="13.2">
      <c r="A303" s="50"/>
      <c r="B303" s="50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</row>
    <row r="304" spans="1:20" s="51" customFormat="1" ht="13.2">
      <c r="A304" s="50"/>
      <c r="B304" s="50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</row>
    <row r="305" spans="1:20" s="51" customFormat="1" ht="13.2">
      <c r="A305" s="50"/>
      <c r="B305" s="50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</row>
    <row r="306" spans="1:20" s="51" customFormat="1" ht="13.2">
      <c r="A306" s="50"/>
      <c r="B306" s="50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</row>
    <row r="307" spans="1:20" s="51" customFormat="1" ht="13.2">
      <c r="A307" s="50"/>
      <c r="B307" s="50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</row>
    <row r="308" spans="1:20" s="51" customFormat="1" ht="13.2">
      <c r="A308" s="50"/>
      <c r="B308" s="50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</row>
    <row r="309" spans="1:20" s="51" customFormat="1" ht="13.2">
      <c r="A309" s="50"/>
      <c r="B309" s="50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</row>
    <row r="310" spans="1:20" s="51" customFormat="1" ht="13.2">
      <c r="A310" s="50"/>
      <c r="B310" s="50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</row>
    <row r="311" spans="1:20" s="51" customFormat="1" ht="13.2">
      <c r="A311" s="50"/>
      <c r="B311" s="50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</row>
    <row r="312" spans="1:20" s="51" customFormat="1" ht="13.2">
      <c r="A312" s="50"/>
      <c r="B312" s="50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</row>
    <row r="313" spans="1:20" s="51" customFormat="1" ht="13.2">
      <c r="A313" s="50"/>
      <c r="B313" s="50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</row>
    <row r="314" spans="1:20" s="51" customFormat="1" ht="13.2">
      <c r="A314" s="50"/>
      <c r="B314" s="50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</row>
    <row r="315" spans="1:20" s="51" customFormat="1" ht="13.2">
      <c r="A315" s="50"/>
      <c r="B315" s="50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</row>
    <row r="316" spans="1:20" s="51" customFormat="1" ht="13.2">
      <c r="A316" s="50"/>
      <c r="B316" s="50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</row>
    <row r="317" spans="1:20" s="51" customFormat="1" ht="13.2">
      <c r="A317" s="50"/>
      <c r="B317" s="50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</row>
    <row r="318" spans="1:20" s="51" customFormat="1" ht="13.2">
      <c r="A318" s="50"/>
      <c r="B318" s="50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</row>
    <row r="319" spans="1:20" s="51" customFormat="1" ht="13.2">
      <c r="A319" s="50"/>
      <c r="B319" s="50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</row>
    <row r="320" spans="1:20" s="51" customFormat="1" ht="13.2">
      <c r="A320" s="50"/>
      <c r="B320" s="50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</row>
    <row r="321" spans="1:20" s="51" customFormat="1" ht="13.2">
      <c r="A321" s="50"/>
      <c r="B321" s="50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</row>
    <row r="322" spans="1:20" s="51" customFormat="1" ht="13.2">
      <c r="A322" s="50"/>
      <c r="B322" s="50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</row>
    <row r="323" spans="1:20" s="51" customFormat="1" ht="13.2">
      <c r="A323" s="50"/>
      <c r="B323" s="50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</row>
    <row r="324" spans="1:20" ht="13.2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</row>
    <row r="325" spans="1:20" ht="13.2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</row>
    <row r="326" spans="1:20" ht="13.2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</row>
    <row r="327" spans="1:20" ht="13.2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</row>
    <row r="328" spans="1:20" ht="13.2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</row>
    <row r="329" spans="1:20" ht="13.2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</row>
    <row r="330" spans="1:20" ht="13.2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</row>
    <row r="331" spans="1:20" ht="13.2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</row>
    <row r="332" spans="1:20" ht="13.2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</row>
    <row r="333" spans="1:20" ht="13.2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</row>
    <row r="334" spans="1:20" ht="13.2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</row>
    <row r="335" spans="1:20" ht="13.2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</row>
    <row r="336" spans="1:20" ht="13.2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</row>
    <row r="337" spans="1:20" ht="13.2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</row>
    <row r="338" spans="1:20" ht="13.2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</row>
    <row r="339" spans="1:20" ht="13.2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</row>
    <row r="340" spans="1:20" ht="13.2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</row>
    <row r="341" spans="1:20" ht="13.2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</row>
    <row r="342" spans="1:20" ht="13.2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</row>
    <row r="343" spans="1:20" ht="13.2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</row>
    <row r="344" spans="1:20" ht="13.2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</row>
    <row r="345" spans="1:20" ht="13.2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</row>
    <row r="346" spans="1:20" ht="13.2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</row>
    <row r="347" spans="1:20" ht="13.2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</row>
    <row r="348" spans="1:20" ht="13.2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</row>
    <row r="349" spans="1:20" ht="13.2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</row>
    <row r="350" spans="1:20" ht="13.2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</row>
    <row r="351" spans="1:20" ht="13.2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</row>
    <row r="352" spans="1:20" ht="13.2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</row>
    <row r="353" spans="1:20" ht="13.2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</row>
    <row r="354" spans="1:20" ht="13.2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</row>
    <row r="355" spans="1:20" ht="13.2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</row>
    <row r="356" spans="1:20" ht="13.2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</row>
    <row r="357" spans="1:20" ht="13.2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</row>
    <row r="358" spans="1:20" ht="13.2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</row>
    <row r="359" spans="1:20" ht="13.2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</row>
    <row r="360" spans="1:20" ht="13.2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</row>
    <row r="361" spans="1:20" ht="13.2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</row>
    <row r="362" spans="1:20" ht="13.2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</row>
    <row r="363" spans="1:20" ht="13.2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</row>
    <row r="364" spans="1:20" ht="13.2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</row>
    <row r="365" spans="1:20" ht="13.2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</row>
    <row r="366" spans="1:20" ht="13.2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</row>
    <row r="367" spans="1:20" ht="13.2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</row>
    <row r="368" spans="1:20" ht="13.2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</row>
    <row r="369" spans="1:20" ht="13.2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</row>
    <row r="370" spans="1:20" ht="13.2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</row>
    <row r="371" spans="1:20" ht="13.2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</row>
    <row r="372" spans="1:20" ht="13.2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</row>
    <row r="373" spans="1:20" ht="13.2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</row>
    <row r="374" spans="1:20" ht="13.2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</row>
    <row r="375" spans="1:20" ht="13.2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</row>
    <row r="376" spans="1:20" ht="13.2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</row>
    <row r="377" spans="1:20" ht="13.2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</row>
    <row r="378" spans="1:20" ht="13.2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</row>
    <row r="379" spans="1:20" ht="13.2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</row>
    <row r="380" spans="1:20" ht="13.2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</row>
    <row r="381" spans="1:20" ht="13.2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</row>
    <row r="382" spans="1:20" ht="13.2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</row>
    <row r="383" spans="1:20" ht="13.2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</row>
    <row r="384" spans="1:20" ht="13.2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</row>
    <row r="385" spans="1:20" ht="13.2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</row>
    <row r="386" spans="1:20" ht="13.2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</row>
    <row r="387" spans="1:20" ht="13.2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</row>
    <row r="388" spans="1:20" ht="13.2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</row>
    <row r="389" spans="1:20" ht="13.2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</row>
    <row r="390" spans="1:20" ht="13.2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</row>
    <row r="391" spans="1:20" ht="13.2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</row>
    <row r="392" spans="1:20" ht="13.2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</row>
    <row r="393" spans="1:20" ht="13.2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</row>
    <row r="394" spans="1:20" ht="13.2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</row>
    <row r="395" spans="1:20" ht="13.2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</row>
    <row r="396" spans="1:20" ht="13.2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</row>
    <row r="397" spans="1:20" ht="13.2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</row>
    <row r="398" spans="1:20" ht="13.2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</row>
    <row r="399" spans="1:20" ht="13.2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</row>
    <row r="400" spans="1:20" ht="13.2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</row>
    <row r="401" spans="1:20" ht="13.2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</row>
    <row r="402" spans="1:20" ht="13.2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</row>
    <row r="403" spans="1:20" ht="13.2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</row>
    <row r="404" spans="1:20" ht="13.2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</row>
    <row r="405" spans="1:20" ht="13.2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</row>
    <row r="406" spans="1:20" ht="13.2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</row>
    <row r="407" spans="1:20" ht="13.2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</row>
    <row r="408" spans="1:20" ht="13.2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</row>
    <row r="409" spans="1:20" ht="13.2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</row>
    <row r="410" spans="1:20" ht="13.2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</row>
    <row r="411" spans="1:20" ht="13.2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</row>
    <row r="412" spans="1:20" ht="13.2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</row>
    <row r="413" spans="1:20" ht="13.2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</row>
    <row r="414" spans="1:20" ht="13.2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</row>
    <row r="415" spans="1:20" ht="13.2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</row>
    <row r="416" spans="1:20" ht="13.2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</row>
    <row r="417" spans="1:20" ht="13.2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</row>
    <row r="418" spans="1:20" ht="13.2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</row>
    <row r="419" spans="1:20" ht="13.2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</row>
    <row r="420" spans="1:20" ht="13.2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</row>
    <row r="421" spans="1:20" ht="13.2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</row>
    <row r="422" spans="1:20" ht="13.2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</row>
    <row r="423" spans="1:20" ht="13.2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</row>
    <row r="424" spans="1:20" ht="13.2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</row>
    <row r="425" spans="1:20" ht="13.2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</row>
    <row r="426" spans="1:20" ht="13.2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</row>
    <row r="427" spans="1:20" ht="13.2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</row>
    <row r="428" spans="1:20" ht="13.2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</row>
    <row r="429" spans="1:20" ht="13.2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</row>
    <row r="430" spans="1:20" ht="13.2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</row>
    <row r="431" spans="1:20" ht="13.2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</row>
    <row r="432" spans="1:20" ht="13.2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</row>
    <row r="433" spans="1:20" ht="13.2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</row>
    <row r="434" spans="1:20" ht="13.2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</row>
    <row r="435" spans="1:20" ht="13.2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</row>
    <row r="436" spans="1:20" ht="13.2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</row>
    <row r="437" spans="1:20" ht="13.2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</row>
    <row r="438" spans="1:20" ht="13.2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</row>
    <row r="439" spans="1:20" ht="13.2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</row>
    <row r="440" spans="1:20" ht="13.2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</row>
    <row r="441" spans="1:20" ht="13.2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</row>
    <row r="442" spans="1:20" ht="13.2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</row>
    <row r="443" spans="1:20" ht="13.2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</row>
    <row r="444" spans="1:20" ht="13.2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</row>
    <row r="445" spans="1:20" ht="13.2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</row>
    <row r="446" spans="1:20" ht="13.2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</row>
    <row r="447" spans="1:20" ht="13.2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</row>
    <row r="448" spans="1:20" ht="13.2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</row>
    <row r="449" spans="1:20" ht="13.2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</row>
    <row r="450" spans="1:20" ht="13.2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</row>
    <row r="451" spans="1:20" ht="13.2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</row>
    <row r="452" spans="1:20" ht="13.2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</row>
    <row r="453" spans="1:20" ht="13.2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</row>
    <row r="454" spans="1:20" ht="13.2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</row>
    <row r="455" spans="1:20" ht="13.2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</row>
    <row r="456" spans="1:20" ht="13.2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</row>
    <row r="457" spans="1:20" ht="13.2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</row>
    <row r="458" spans="1:20" ht="13.2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</row>
    <row r="459" spans="1:20" ht="13.2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</row>
    <row r="460" spans="1:20" ht="13.2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</row>
    <row r="461" spans="1:20" ht="13.2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</row>
    <row r="462" spans="1:20" ht="13.2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</row>
    <row r="463" spans="1:20" ht="13.2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</row>
    <row r="464" spans="1:20" ht="13.2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</row>
    <row r="465" spans="1:20" ht="13.2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</row>
    <row r="466" spans="1:20" ht="13.2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</row>
    <row r="467" spans="1:20" ht="13.2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</row>
    <row r="468" spans="1:20" ht="13.2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</row>
    <row r="469" spans="1:20" ht="13.2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</row>
    <row r="470" spans="1:20" ht="13.2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</row>
    <row r="471" spans="1:20" ht="13.2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</row>
    <row r="472" spans="1:20" ht="13.2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</row>
    <row r="473" spans="1:20" ht="13.2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</row>
    <row r="474" spans="1:20" ht="13.2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</row>
    <row r="475" spans="1:20" ht="13.2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</row>
    <row r="476" spans="1:20" ht="13.2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</row>
    <row r="477" spans="1:20" ht="13.2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</row>
    <row r="478" spans="1:20" ht="13.2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</row>
    <row r="479" spans="1:20" ht="13.2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</row>
    <row r="480" spans="1:20" ht="13.2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</row>
    <row r="481" spans="1:20" ht="13.2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</row>
    <row r="482" spans="1:20" ht="13.2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</row>
    <row r="483" spans="1:20" ht="13.2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</row>
    <row r="484" spans="1:20" ht="13.2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</row>
    <row r="485" spans="1:20" ht="13.2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</row>
    <row r="486" spans="1:20" ht="13.2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</row>
    <row r="487" spans="1:20" ht="13.2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</row>
    <row r="488" spans="1:20" ht="13.2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</row>
    <row r="489" spans="1:20" ht="13.2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</row>
    <row r="490" spans="1:20" ht="13.2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</row>
    <row r="491" spans="1:20" ht="13.2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</row>
    <row r="492" spans="1:20" ht="13.2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</row>
    <row r="493" spans="1:20" ht="13.2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</row>
    <row r="494" spans="1:20" ht="13.2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</row>
    <row r="495" spans="1:20" ht="13.2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</row>
    <row r="496" spans="1:20" ht="13.2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</row>
    <row r="497" spans="1:20" ht="13.2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</row>
    <row r="498" spans="1:20" ht="13.2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</row>
    <row r="499" spans="1:20" ht="13.2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</row>
    <row r="500" spans="1:20" ht="13.2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</row>
    <row r="501" spans="1:20" ht="13.2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</row>
    <row r="502" spans="1:20" ht="13.2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</row>
    <row r="503" spans="1:20" ht="13.2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</row>
    <row r="504" spans="1:20" ht="13.2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</row>
    <row r="505" spans="1:20" ht="13.2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</row>
    <row r="506" spans="1:20" ht="13.2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</row>
    <row r="507" spans="1:20" ht="13.2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</row>
    <row r="508" spans="1:20" ht="13.2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</row>
    <row r="509" spans="1:20" ht="13.2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</row>
    <row r="510" spans="1:20" ht="13.2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</row>
    <row r="511" spans="1:20" ht="13.2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</row>
    <row r="512" spans="1:20" ht="13.2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</row>
    <row r="513" spans="1:20" ht="13.2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</row>
    <row r="514" spans="1:20" ht="13.2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</row>
    <row r="515" spans="1:20" ht="13.2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</row>
    <row r="516" spans="1:20" ht="13.2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</row>
    <row r="517" spans="1:20" ht="13.2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</row>
    <row r="518" spans="1:20" ht="13.2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</row>
    <row r="519" spans="1:20" ht="13.2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</row>
    <row r="520" spans="1:20" ht="13.2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</row>
    <row r="521" spans="1:20" ht="13.2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</row>
    <row r="522" spans="1:20" ht="13.2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</row>
    <row r="523" spans="1:20" ht="13.2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</row>
    <row r="524" spans="1:20" ht="13.2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</row>
    <row r="525" spans="1:20" ht="13.2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</row>
    <row r="526" spans="1:20" ht="13.2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</row>
    <row r="527" spans="1:20" ht="13.2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</row>
    <row r="528" spans="1:20" ht="13.2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</row>
    <row r="529" spans="1:20" ht="13.2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</row>
    <row r="530" spans="1:20" ht="13.2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</row>
    <row r="531" spans="1:20" ht="13.2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</row>
    <row r="532" spans="1:20" ht="13.2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</row>
    <row r="533" spans="1:20" ht="13.2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</row>
    <row r="534" spans="1:20" ht="13.2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</row>
    <row r="535" spans="1:20" ht="13.2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</row>
    <row r="536" spans="1:20" ht="13.2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</row>
    <row r="537" spans="1:20" ht="13.2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</row>
    <row r="538" spans="1:20" ht="13.2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</row>
    <row r="539" spans="1:20" ht="13.2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</row>
    <row r="540" spans="1:20" ht="13.2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</row>
    <row r="541" spans="1:20" ht="13.2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</row>
    <row r="542" spans="1:20" ht="13.2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</row>
    <row r="543" spans="1:20" ht="13.2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</row>
    <row r="544" spans="1:20" ht="13.2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</row>
    <row r="545" spans="1:20" ht="13.2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</row>
    <row r="546" spans="1:20" ht="13.2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</row>
    <row r="547" spans="1:20" ht="13.2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</row>
    <row r="548" spans="1:20" ht="13.2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</row>
    <row r="549" spans="1:20" ht="13.2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</row>
    <row r="550" spans="1:20" ht="13.2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</row>
    <row r="551" spans="1:20" ht="13.2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</row>
    <row r="552" spans="1:20" ht="13.2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</row>
    <row r="553" spans="1:20" ht="13.2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</row>
    <row r="554" spans="1:20" ht="13.2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</row>
    <row r="555" spans="1:20" ht="13.2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</row>
    <row r="556" spans="1:20" ht="13.2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</row>
    <row r="557" spans="1:20" ht="13.2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</row>
    <row r="558" spans="1:20" ht="13.2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</row>
    <row r="559" spans="1:20" ht="13.2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</row>
    <row r="560" spans="1:20" ht="13.2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</row>
    <row r="561" spans="1:20" ht="13.2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</row>
    <row r="562" spans="1:20" ht="13.2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</row>
    <row r="563" spans="1:20" ht="13.2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</row>
    <row r="564" spans="1:20" ht="13.2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</row>
    <row r="565" spans="1:20" ht="13.2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</row>
    <row r="566" spans="1:20" ht="13.2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</row>
    <row r="567" spans="1:20" ht="13.2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</row>
    <row r="568" spans="1:20" ht="13.2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</row>
    <row r="569" spans="1:20" ht="13.2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</row>
    <row r="570" spans="1:20" ht="13.2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</row>
    <row r="571" spans="1:20" ht="13.2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</row>
    <row r="572" spans="1:20" ht="13.2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</row>
    <row r="573" spans="1:20" ht="13.2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</row>
    <row r="574" spans="1:20" ht="13.2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</row>
    <row r="575" spans="1:20" ht="13.2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</row>
    <row r="576" spans="1:20" ht="13.2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</row>
    <row r="577" spans="1:20" ht="13.2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</row>
    <row r="578" spans="1:20" ht="13.2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</row>
    <row r="579" spans="1:20" ht="13.2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</row>
    <row r="580" spans="1:20" ht="13.2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</row>
    <row r="581" spans="1:20" ht="13.2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</row>
    <row r="582" spans="1:20" ht="13.2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</row>
    <row r="583" spans="1:20" ht="13.2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</row>
    <row r="584" spans="1:20" ht="13.2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</row>
    <row r="585" spans="1:20" ht="13.2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</row>
    <row r="586" spans="1:20" ht="13.2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</row>
    <row r="587" spans="1:20" ht="13.2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</row>
    <row r="588" spans="1:20" ht="13.2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</row>
    <row r="589" spans="1:20" ht="13.2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</row>
    <row r="590" spans="1:20" ht="13.2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</row>
    <row r="591" spans="1:20" ht="13.2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</row>
    <row r="592" spans="1:20" ht="13.2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</row>
    <row r="593" spans="1:20" ht="13.2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</row>
    <row r="594" spans="1:20" ht="13.2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</row>
    <row r="595" spans="1:20" ht="13.2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</row>
    <row r="596" spans="1:20" ht="13.2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</row>
    <row r="597" spans="1:20" ht="13.2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</row>
    <row r="598" spans="1:20" ht="13.2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</row>
    <row r="599" spans="1:20" ht="13.2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</row>
    <row r="600" spans="1:20" ht="13.2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</row>
    <row r="601" spans="1:20" ht="13.2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</row>
    <row r="602" spans="1:20" ht="13.2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</row>
    <row r="603" spans="1:20" ht="13.2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</row>
    <row r="604" spans="1:20" ht="13.2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</row>
    <row r="605" spans="1:20" ht="13.2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</row>
    <row r="606" spans="1:20" ht="13.2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</row>
    <row r="607" spans="1:20" ht="13.2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</row>
    <row r="608" spans="1:20" ht="13.2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</row>
    <row r="609" spans="1:20" ht="13.2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</row>
    <row r="610" spans="1:20" ht="13.2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</row>
    <row r="611" spans="1:20" ht="13.2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</row>
    <row r="612" spans="1:20" ht="13.2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</row>
    <row r="613" spans="1:20" ht="13.2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</row>
    <row r="614" spans="1:20" ht="13.2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</row>
    <row r="615" spans="1:20" ht="13.2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</row>
    <row r="616" spans="1:20" ht="13.2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</row>
    <row r="617" spans="1:20" ht="13.2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</row>
    <row r="618" spans="1:20" ht="13.2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</row>
    <row r="619" spans="1:20" ht="13.2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</row>
    <row r="620" spans="1:20" ht="13.2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</row>
    <row r="621" spans="1:20" ht="13.2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</row>
    <row r="622" spans="1:20" ht="13.2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</row>
    <row r="623" spans="1:20" ht="13.2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</row>
    <row r="624" spans="1:20" ht="13.2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</row>
    <row r="625" spans="1:20" ht="13.2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</row>
    <row r="626" spans="1:20" ht="13.2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</row>
    <row r="627" spans="1:20" ht="13.2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</row>
    <row r="628" spans="1:20" ht="13.2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</row>
    <row r="629" spans="1:20" ht="13.2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</row>
    <row r="630" spans="1:20" ht="13.2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</row>
    <row r="631" spans="1:20" ht="13.2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</row>
    <row r="632" spans="1:20" ht="13.2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</row>
    <row r="633" spans="1:20" ht="13.2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</row>
    <row r="634" spans="1:20" ht="13.2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</row>
    <row r="635" spans="1:20" ht="13.2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</row>
    <row r="636" spans="1:20" ht="13.2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</row>
    <row r="637" spans="1:20" ht="13.2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</row>
    <row r="638" spans="1:20" ht="13.2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</row>
    <row r="639" spans="1:20" ht="13.2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</row>
    <row r="640" spans="1:20" ht="13.2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</row>
    <row r="641" spans="1:20" ht="13.2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</row>
    <row r="642" spans="1:20" ht="13.2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</row>
    <row r="643" spans="1:20" ht="13.2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</row>
    <row r="644" spans="1:20" ht="13.2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</row>
    <row r="645" spans="1:20" ht="13.2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</row>
    <row r="646" spans="1:20" ht="13.2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</row>
    <row r="647" spans="1:20" ht="13.2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</row>
    <row r="648" spans="1:20" ht="13.2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</row>
    <row r="649" spans="1:20" ht="13.2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</row>
    <row r="650" spans="1:20" ht="13.2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</row>
    <row r="651" spans="1:20" ht="13.2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</row>
    <row r="652" spans="1:20" ht="13.2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</row>
    <row r="653" spans="1:20" ht="13.2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</row>
    <row r="654" spans="1:20" ht="13.2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</row>
    <row r="655" spans="1:20" ht="13.2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</row>
    <row r="656" spans="1:20" ht="13.2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</row>
    <row r="657" spans="1:20" ht="13.2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</row>
    <row r="658" spans="1:20" ht="13.2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</row>
    <row r="659" spans="1:20" ht="13.2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</row>
    <row r="660" spans="1:20" ht="13.2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</row>
    <row r="661" spans="1:20" ht="13.2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</row>
    <row r="662" spans="1:20" ht="13.2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</row>
    <row r="663" spans="1:20" ht="13.2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</row>
    <row r="664" spans="1:20" ht="13.2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</row>
    <row r="665" spans="1:20" ht="13.2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</row>
    <row r="666" spans="1:20" ht="13.2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</row>
    <row r="667" spans="1:20" ht="13.2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</row>
    <row r="668" spans="1:20" ht="13.2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</row>
    <row r="669" spans="1:20" ht="13.2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</row>
    <row r="670" spans="1:20" ht="13.2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</row>
    <row r="671" spans="1:20" ht="13.2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</row>
    <row r="672" spans="1:20" ht="13.2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</row>
    <row r="673" spans="1:20" ht="13.2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</row>
    <row r="674" spans="1:20" ht="13.2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</row>
    <row r="675" spans="1:20" ht="13.2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</row>
    <row r="676" spans="1:20" ht="13.2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</row>
    <row r="677" spans="1:20" ht="13.2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</row>
    <row r="678" spans="1:20" ht="13.2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</row>
    <row r="679" spans="1:20" ht="13.2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</row>
    <row r="680" spans="1:20" ht="13.2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</row>
    <row r="681" spans="1:20" ht="13.2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</row>
    <row r="682" spans="1:20" ht="13.2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</row>
    <row r="683" spans="1:20" ht="13.2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</row>
    <row r="684" spans="1:20" ht="13.2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</row>
    <row r="685" spans="1:20" ht="13.2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</row>
    <row r="686" spans="1:20" ht="13.2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</row>
    <row r="687" spans="1:20" ht="13.2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</row>
    <row r="688" spans="1:20" ht="13.2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</row>
    <row r="689" spans="1:20" ht="13.2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</row>
    <row r="690" spans="1:20" ht="13.2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</row>
    <row r="691" spans="1:20" ht="13.2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</row>
    <row r="692" spans="1:20" ht="13.2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</row>
    <row r="693" spans="1:20" ht="13.2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</row>
    <row r="694" spans="1:20" ht="13.2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</row>
    <row r="695" spans="1:20" ht="13.2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</row>
    <row r="696" spans="1:20" ht="13.2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</row>
    <row r="697" spans="1:20" ht="13.2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</row>
    <row r="698" spans="1:20" ht="13.2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</row>
    <row r="699" spans="1:20" ht="13.2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</row>
    <row r="700" spans="1:20" ht="13.2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</row>
    <row r="701" spans="1:20" ht="13.2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</row>
    <row r="702" spans="1:20" ht="13.2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</row>
    <row r="703" spans="1:20" ht="13.2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</row>
    <row r="704" spans="1:20" ht="13.2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</row>
    <row r="705" spans="1:20" ht="13.2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</row>
    <row r="706" spans="1:20" ht="13.2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</row>
    <row r="707" spans="1:20" ht="13.2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</row>
    <row r="708" spans="1:20" ht="13.2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</row>
    <row r="709" spans="1:20" ht="13.2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</row>
    <row r="710" spans="1:20" ht="13.2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</row>
    <row r="711" spans="1:20" ht="13.2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</row>
    <row r="712" spans="1:20" ht="13.2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</row>
    <row r="713" spans="1:20" ht="13.2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</row>
    <row r="714" spans="1:20" ht="13.2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</row>
    <row r="715" spans="1:20" ht="13.2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</row>
    <row r="716" spans="1:20" ht="13.2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</row>
    <row r="717" spans="1:20" ht="13.2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</row>
    <row r="718" spans="1:20" ht="13.2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</row>
    <row r="719" spans="1:20" ht="13.2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</row>
    <row r="720" spans="1:20" ht="13.2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</row>
    <row r="721" spans="1:20" ht="13.2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</row>
    <row r="722" spans="1:20" ht="13.2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</row>
    <row r="723" spans="1:20" ht="13.2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</row>
    <row r="724" spans="1:20" ht="13.2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</row>
    <row r="725" spans="1:20" ht="13.2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</row>
    <row r="726" spans="1:20" ht="13.2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</row>
    <row r="727" spans="1:20" ht="13.2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</row>
    <row r="728" spans="1:20" ht="13.2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</row>
    <row r="729" spans="1:20" ht="13.2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</row>
    <row r="730" spans="1:20" ht="13.2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</row>
    <row r="731" spans="1:20" ht="13.2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</row>
    <row r="732" spans="1:20" ht="13.2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</row>
    <row r="733" spans="1:20" ht="13.2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</row>
    <row r="734" spans="1:20" ht="13.2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</row>
    <row r="735" spans="1:20" ht="13.2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</row>
    <row r="736" spans="1:20" ht="13.2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</row>
    <row r="737" spans="1:20" ht="13.2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</row>
    <row r="738" spans="1:20" ht="13.2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</row>
    <row r="739" spans="1:20" ht="13.2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</row>
    <row r="740" spans="1:20" ht="13.2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</row>
    <row r="741" spans="1:20" ht="13.2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</row>
    <row r="742" spans="1:20" ht="13.2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</row>
    <row r="743" spans="1:20" ht="13.2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</row>
    <row r="744" spans="1:20" ht="13.2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</row>
    <row r="745" spans="1:20" ht="13.2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</row>
    <row r="746" spans="1:20" ht="13.2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</row>
    <row r="747" spans="1:20" ht="13.2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</row>
    <row r="748" spans="1:20" ht="13.2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</row>
    <row r="749" spans="1:20" ht="13.2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</row>
    <row r="750" spans="1:20" ht="13.2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</row>
    <row r="751" spans="1:20" ht="13.2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</row>
    <row r="752" spans="1:20" ht="13.2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</row>
    <row r="753" spans="1:20" ht="13.2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</row>
    <row r="754" spans="1:20" ht="13.2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</row>
    <row r="755" spans="1:20" ht="13.2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</row>
    <row r="756" spans="1:20" ht="13.2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</row>
    <row r="757" spans="1:20" ht="13.2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</row>
    <row r="758" spans="1:20" ht="13.2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</row>
    <row r="759" spans="1:20" ht="13.2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</row>
    <row r="760" spans="1:20" ht="13.2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</row>
    <row r="761" spans="1:20" ht="13.2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</row>
    <row r="762" spans="1:20" ht="13.2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</row>
    <row r="763" spans="1:20" ht="13.2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</row>
    <row r="764" spans="1:20" ht="13.2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</row>
    <row r="765" spans="1:20" ht="13.2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</row>
    <row r="766" spans="1:20" ht="13.2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</row>
    <row r="767" spans="1:20" ht="13.2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</row>
    <row r="768" spans="1:20" ht="13.2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</row>
    <row r="769" spans="1:20" ht="13.2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</row>
    <row r="770" spans="1:20" ht="13.2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</row>
    <row r="771" spans="1:20" ht="13.2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</row>
    <row r="772" spans="1:20" ht="13.2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</row>
    <row r="773" spans="1:20" ht="13.2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</row>
    <row r="774" spans="1:20" ht="13.2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</row>
    <row r="775" spans="1:20" ht="13.2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</row>
    <row r="776" spans="1:20" ht="13.2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</row>
    <row r="777" spans="1:20" ht="13.2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</row>
    <row r="778" spans="1:20" ht="13.2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</row>
    <row r="779" spans="1:20" ht="13.2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</row>
    <row r="780" spans="1:20" ht="13.2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</row>
    <row r="781" spans="1:20" ht="13.2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</row>
    <row r="782" spans="1:20" ht="13.2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</row>
    <row r="783" spans="1:20" ht="13.2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</row>
    <row r="784" spans="1:20" ht="13.2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</row>
    <row r="785" spans="1:20" ht="13.2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</row>
    <row r="786" spans="1:20" ht="13.2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</row>
    <row r="787" spans="1:20" ht="13.2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</row>
    <row r="788" spans="1:20" ht="13.2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</row>
    <row r="789" spans="1:20" ht="13.2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</row>
    <row r="790" spans="1:20" ht="13.2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</row>
    <row r="791" spans="1:20" ht="13.2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</row>
    <row r="792" spans="1:20" ht="13.2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</row>
    <row r="793" spans="1:20" ht="13.2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</row>
    <row r="794" spans="1:20" ht="13.2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</row>
    <row r="795" spans="1:20" ht="13.2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</row>
    <row r="796" spans="1:20" ht="13.2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</row>
    <row r="797" spans="1:20" ht="13.2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</row>
    <row r="798" spans="1:20" ht="13.2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</row>
    <row r="799" spans="1:20" ht="13.2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</row>
    <row r="800" spans="1:20" ht="13.2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</row>
    <row r="801" spans="1:20" ht="13.2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</row>
    <row r="802" spans="1:20" ht="13.2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</row>
    <row r="803" spans="1:20" ht="13.2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</row>
    <row r="804" spans="1:20" ht="13.2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</row>
    <row r="805" spans="1:20" ht="13.2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</row>
    <row r="806" spans="1:20" ht="13.2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</row>
    <row r="807" spans="1:20" ht="13.2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</row>
    <row r="808" spans="1:20" ht="13.2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</row>
    <row r="809" spans="1:20" ht="13.2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</row>
    <row r="810" spans="1:20" ht="13.2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</row>
    <row r="811" spans="1:20" ht="13.2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</row>
    <row r="812" spans="1:20" ht="13.2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</row>
    <row r="813" spans="1:20" ht="13.2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</row>
    <row r="814" spans="1:20" ht="13.2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</row>
    <row r="815" spans="1:20" ht="13.2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</row>
    <row r="816" spans="1:20" ht="13.2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</row>
    <row r="817" spans="1:20" ht="13.2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</row>
    <row r="818" spans="1:20" ht="13.2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</row>
    <row r="819" spans="1:20" ht="13.2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</row>
    <row r="820" spans="1:20" ht="13.2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</row>
    <row r="821" spans="1:20" ht="13.2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</row>
    <row r="822" spans="1:20" ht="13.2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</row>
    <row r="823" spans="1:20" ht="13.2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</row>
    <row r="824" spans="1:20" ht="13.2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</row>
    <row r="825" spans="1:20" ht="13.2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</row>
    <row r="826" spans="1:20" ht="13.2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</row>
    <row r="827" spans="1:20" ht="13.2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</row>
    <row r="828" spans="1:20" ht="13.2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</row>
    <row r="829" spans="1:20" ht="13.2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</row>
    <row r="830" spans="1:20" ht="13.2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</row>
    <row r="831" spans="1:20" ht="13.2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</row>
    <row r="832" spans="1:20" ht="13.2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</row>
    <row r="833" spans="1:20" ht="13.2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</row>
    <row r="834" spans="1:20" ht="13.2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</row>
    <row r="835" spans="1:20" ht="13.2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</row>
    <row r="836" spans="1:20" ht="13.2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</row>
    <row r="837" spans="1:20" ht="13.2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</row>
    <row r="838" spans="1:20" ht="13.2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</row>
    <row r="839" spans="1:20" ht="13.2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</row>
    <row r="840" spans="1:20" ht="13.2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</row>
    <row r="841" spans="1:20" ht="13.2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</row>
    <row r="842" spans="1:20" ht="13.2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</row>
    <row r="843" spans="1:20" ht="13.2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</row>
    <row r="844" spans="1:20" ht="13.2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</row>
    <row r="845" spans="1:20" ht="13.2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</row>
    <row r="846" spans="1:20" ht="13.2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</row>
    <row r="847" spans="1:20" ht="13.2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</row>
    <row r="848" spans="1:20" ht="13.2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</row>
    <row r="849" spans="1:20" ht="13.2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</row>
    <row r="850" spans="1:20" ht="13.2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</row>
    <row r="851" spans="1:20" ht="13.2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</row>
    <row r="852" spans="1:20" ht="13.2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</row>
  </sheetData>
  <mergeCells count="16">
    <mergeCell ref="G4:G5"/>
    <mergeCell ref="E2:F2"/>
    <mergeCell ref="B4:B5"/>
    <mergeCell ref="C4:C5"/>
    <mergeCell ref="D4:D5"/>
    <mergeCell ref="E4:E5"/>
    <mergeCell ref="F4:F5"/>
    <mergeCell ref="Q4:Q5"/>
    <mergeCell ref="R4:R5"/>
    <mergeCell ref="H4:H5"/>
    <mergeCell ref="I4:I5"/>
    <mergeCell ref="J4:J5"/>
    <mergeCell ref="K4:K5"/>
    <mergeCell ref="L4:N4"/>
    <mergeCell ref="O4:O5"/>
    <mergeCell ref="P4:P5"/>
  </mergeCells>
  <phoneticPr fontId="16" type="noConversion"/>
  <conditionalFormatting sqref="F10:F174">
    <cfRule type="cellIs" dxfId="3" priority="13" operator="equal">
      <formula>"미완료"</formula>
    </cfRule>
  </conditionalFormatting>
  <conditionalFormatting sqref="K6">
    <cfRule type="cellIs" dxfId="2" priority="10" operator="greaterThan">
      <formula>1</formula>
    </cfRule>
  </conditionalFormatting>
  <conditionalFormatting sqref="L6:Q6">
    <cfRule type="cellIs" dxfId="1" priority="8" operator="equal">
      <formula>0</formula>
    </cfRule>
  </conditionalFormatting>
  <conditionalFormatting sqref="E6">
    <cfRule type="colorScale" priority="18">
      <colorScale>
        <cfvo type="percent" val="0"/>
        <cfvo type="percent" val="100"/>
        <color rgb="FFFFFFFF"/>
        <color rgb="FF6AA84F"/>
      </colorScale>
    </cfRule>
    <cfRule type="cellIs" dxfId="0" priority="19" operator="lessThan">
      <formula>"100%"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406E3-AA64-4130-B4F9-54A99134FF44}">
  <sheetPr codeName="Sheet2"/>
  <dimension ref="A1:S19"/>
  <sheetViews>
    <sheetView tabSelected="1" topLeftCell="I1" zoomScale="70" zoomScaleNormal="70" workbookViewId="0">
      <selection activeCell="O6" sqref="O6"/>
    </sheetView>
  </sheetViews>
  <sheetFormatPr defaultRowHeight="40.049999999999997" customHeight="1"/>
  <cols>
    <col min="1" max="1" width="13" customWidth="1"/>
    <col min="2" max="2" width="20.33203125" customWidth="1"/>
    <col min="3" max="3" width="22.21875" customWidth="1"/>
    <col min="4" max="4" width="32.5546875" customWidth="1"/>
    <col min="5" max="5" width="11.21875" customWidth="1"/>
    <col min="6" max="6" width="19.33203125" style="16" customWidth="1"/>
    <col min="7" max="7" width="34.109375" style="16" customWidth="1"/>
    <col min="8" max="8" width="34.44140625" style="16" customWidth="1"/>
    <col min="9" max="9" width="46.21875" style="16" customWidth="1"/>
    <col min="10" max="11" width="20.77734375" style="75" customWidth="1"/>
    <col min="12" max="12" width="17.44140625" style="16" customWidth="1"/>
    <col min="13" max="13" width="27" style="16" customWidth="1"/>
    <col min="14" max="15" width="27" style="15" customWidth="1"/>
    <col min="16" max="17" width="27" customWidth="1"/>
    <col min="18" max="18" width="45.5546875" customWidth="1"/>
  </cols>
  <sheetData>
    <row r="1" spans="1:19" ht="13.8" thickBot="1">
      <c r="A1" s="19" t="s">
        <v>32</v>
      </c>
      <c r="B1" s="20"/>
      <c r="C1" s="19"/>
      <c r="D1" s="19"/>
      <c r="E1" s="19"/>
      <c r="F1" s="19"/>
      <c r="G1" s="19"/>
      <c r="H1" s="19"/>
      <c r="I1" s="19"/>
      <c r="J1" s="73"/>
      <c r="K1" s="73"/>
      <c r="L1" s="19"/>
      <c r="M1" s="19"/>
      <c r="N1" s="19"/>
      <c r="O1" s="19"/>
      <c r="P1" s="19"/>
      <c r="Q1" s="19"/>
      <c r="R1" s="19"/>
      <c r="S1" s="21"/>
    </row>
    <row r="2" spans="1:19" s="18" customFormat="1" ht="31.8" customHeight="1" thickBot="1">
      <c r="A2" s="22" t="s">
        <v>0</v>
      </c>
      <c r="B2" s="23" t="s">
        <v>1</v>
      </c>
      <c r="C2" s="23" t="s">
        <v>2</v>
      </c>
      <c r="D2" s="23" t="s">
        <v>33</v>
      </c>
      <c r="E2" s="23" t="s">
        <v>3</v>
      </c>
      <c r="F2" s="23" t="s">
        <v>4</v>
      </c>
      <c r="G2" s="23" t="s">
        <v>5</v>
      </c>
      <c r="H2" s="23" t="s">
        <v>6</v>
      </c>
      <c r="I2" s="23" t="s">
        <v>7</v>
      </c>
      <c r="J2" s="23" t="s">
        <v>34</v>
      </c>
      <c r="K2" s="23" t="s">
        <v>112</v>
      </c>
      <c r="L2" s="23" t="s">
        <v>118</v>
      </c>
      <c r="M2" s="23" t="s">
        <v>8</v>
      </c>
      <c r="N2" s="23" t="s">
        <v>9</v>
      </c>
      <c r="O2" s="23" t="s">
        <v>10</v>
      </c>
      <c r="P2" s="23" t="s">
        <v>35</v>
      </c>
      <c r="Q2" s="23" t="s">
        <v>11</v>
      </c>
      <c r="R2" s="23" t="s">
        <v>12</v>
      </c>
      <c r="S2" s="21"/>
    </row>
    <row r="3" spans="1:19" ht="93" thickBot="1">
      <c r="A3" s="24" t="s">
        <v>36</v>
      </c>
      <c r="B3" s="24" t="s">
        <v>37</v>
      </c>
      <c r="C3" s="25"/>
      <c r="D3" s="25" t="s">
        <v>38</v>
      </c>
      <c r="E3" s="26" t="s">
        <v>14</v>
      </c>
      <c r="F3" s="25"/>
      <c r="G3" s="25" t="s">
        <v>39</v>
      </c>
      <c r="H3" s="25" t="s">
        <v>40</v>
      </c>
      <c r="I3" s="25" t="s">
        <v>41</v>
      </c>
      <c r="J3" s="26" t="s">
        <v>115</v>
      </c>
      <c r="K3" s="26"/>
      <c r="L3" s="25" t="s">
        <v>116</v>
      </c>
      <c r="M3" s="25"/>
      <c r="N3" s="25"/>
      <c r="O3" s="25"/>
      <c r="P3" s="26" t="s">
        <v>109</v>
      </c>
      <c r="Q3" s="25" t="s">
        <v>43</v>
      </c>
      <c r="R3" s="25"/>
      <c r="S3" s="21"/>
    </row>
    <row r="4" spans="1:19" s="17" customFormat="1" ht="40.200000000000003" thickBot="1">
      <c r="A4" s="24" t="s">
        <v>36</v>
      </c>
      <c r="B4" s="24" t="s">
        <v>44</v>
      </c>
      <c r="C4" s="24" t="s">
        <v>45</v>
      </c>
      <c r="D4" s="25" t="s">
        <v>46</v>
      </c>
      <c r="E4" s="26" t="s">
        <v>13</v>
      </c>
      <c r="F4" s="25"/>
      <c r="G4" s="25" t="s">
        <v>47</v>
      </c>
      <c r="H4" s="25" t="s">
        <v>48</v>
      </c>
      <c r="I4" s="25" t="s">
        <v>49</v>
      </c>
      <c r="J4" s="26" t="s">
        <v>115</v>
      </c>
      <c r="K4" s="26"/>
      <c r="L4" s="25" t="s">
        <v>116</v>
      </c>
      <c r="M4" s="25"/>
      <c r="N4" s="25"/>
      <c r="O4" s="25"/>
      <c r="P4" s="26" t="s">
        <v>42</v>
      </c>
      <c r="Q4" s="25" t="s">
        <v>50</v>
      </c>
      <c r="R4" s="25"/>
      <c r="S4" s="21"/>
    </row>
    <row r="5" spans="1:19" s="17" customFormat="1" ht="40.200000000000003" thickBot="1">
      <c r="A5" s="24" t="s">
        <v>36</v>
      </c>
      <c r="B5" s="24" t="s">
        <v>44</v>
      </c>
      <c r="C5" s="24" t="s">
        <v>45</v>
      </c>
      <c r="D5" s="27" t="s">
        <v>51</v>
      </c>
      <c r="E5" s="26" t="s">
        <v>13</v>
      </c>
      <c r="F5" s="25"/>
      <c r="G5" s="25" t="s">
        <v>52</v>
      </c>
      <c r="H5" s="25" t="s">
        <v>48</v>
      </c>
      <c r="I5" s="25" t="s">
        <v>53</v>
      </c>
      <c r="J5" s="76" t="s">
        <v>114</v>
      </c>
      <c r="K5" s="26"/>
      <c r="L5" s="25" t="s">
        <v>116</v>
      </c>
      <c r="M5" s="25"/>
      <c r="N5" s="25"/>
      <c r="O5" s="25"/>
      <c r="P5" s="26" t="s">
        <v>42</v>
      </c>
      <c r="Q5" s="25" t="s">
        <v>54</v>
      </c>
      <c r="R5" s="25"/>
      <c r="S5" s="21"/>
    </row>
    <row r="6" spans="1:19" s="17" customFormat="1" ht="47.4" thickBot="1">
      <c r="A6" s="24" t="s">
        <v>36</v>
      </c>
      <c r="B6" s="24" t="s">
        <v>44</v>
      </c>
      <c r="C6" s="24" t="s">
        <v>45</v>
      </c>
      <c r="D6" s="27" t="s">
        <v>55</v>
      </c>
      <c r="E6" s="26" t="s">
        <v>14</v>
      </c>
      <c r="F6" s="25"/>
      <c r="G6" s="25" t="s">
        <v>56</v>
      </c>
      <c r="H6" s="25" t="s">
        <v>57</v>
      </c>
      <c r="I6" s="25" t="s">
        <v>58</v>
      </c>
      <c r="J6" s="77" t="s">
        <v>114</v>
      </c>
      <c r="K6" s="26"/>
      <c r="L6" s="25" t="s">
        <v>116</v>
      </c>
      <c r="M6" s="25"/>
      <c r="N6" s="25"/>
      <c r="O6" s="25"/>
      <c r="P6" s="26" t="s">
        <v>59</v>
      </c>
      <c r="Q6" s="25"/>
      <c r="R6" s="28" t="s">
        <v>119</v>
      </c>
      <c r="S6" s="21"/>
    </row>
    <row r="7" spans="1:19" s="17" customFormat="1" ht="40.200000000000003" thickBot="1">
      <c r="A7" s="24" t="s">
        <v>36</v>
      </c>
      <c r="B7" s="24" t="s">
        <v>44</v>
      </c>
      <c r="C7" s="24" t="s">
        <v>60</v>
      </c>
      <c r="D7" s="25" t="s">
        <v>61</v>
      </c>
      <c r="E7" s="26" t="s">
        <v>13</v>
      </c>
      <c r="F7" s="25"/>
      <c r="G7" s="25" t="s">
        <v>62</v>
      </c>
      <c r="H7" s="25" t="s">
        <v>63</v>
      </c>
      <c r="I7" s="25" t="s">
        <v>49</v>
      </c>
      <c r="J7" s="78" t="s">
        <v>114</v>
      </c>
      <c r="K7" s="26"/>
      <c r="L7" s="25" t="s">
        <v>116</v>
      </c>
      <c r="M7" s="25"/>
      <c r="N7" s="25"/>
      <c r="O7" s="25"/>
      <c r="P7" s="26" t="s">
        <v>42</v>
      </c>
      <c r="Q7" s="25" t="s">
        <v>64</v>
      </c>
      <c r="R7" s="25"/>
      <c r="S7" s="21"/>
    </row>
    <row r="8" spans="1:19" s="17" customFormat="1" ht="40.200000000000003" thickBot="1">
      <c r="A8" s="24" t="s">
        <v>36</v>
      </c>
      <c r="B8" s="24" t="s">
        <v>44</v>
      </c>
      <c r="C8" s="24" t="s">
        <v>60</v>
      </c>
      <c r="D8" s="27" t="s">
        <v>65</v>
      </c>
      <c r="E8" s="26" t="s">
        <v>13</v>
      </c>
      <c r="F8" s="25"/>
      <c r="G8" s="25" t="s">
        <v>66</v>
      </c>
      <c r="H8" s="25" t="s">
        <v>63</v>
      </c>
      <c r="I8" s="25" t="s">
        <v>67</v>
      </c>
      <c r="J8" s="79" t="s">
        <v>114</v>
      </c>
      <c r="K8" s="26"/>
      <c r="L8" s="25" t="s">
        <v>116</v>
      </c>
      <c r="M8" s="25"/>
      <c r="N8" s="25"/>
      <c r="O8" s="25"/>
      <c r="P8" s="26" t="s">
        <v>42</v>
      </c>
      <c r="Q8" s="25" t="s">
        <v>68</v>
      </c>
      <c r="R8" s="25"/>
      <c r="S8" s="21"/>
    </row>
    <row r="9" spans="1:19" s="17" customFormat="1" ht="47.4" thickBot="1">
      <c r="A9" s="24" t="s">
        <v>36</v>
      </c>
      <c r="B9" s="24" t="s">
        <v>44</v>
      </c>
      <c r="C9" s="24" t="s">
        <v>60</v>
      </c>
      <c r="D9" s="27" t="s">
        <v>69</v>
      </c>
      <c r="E9" s="26" t="s">
        <v>14</v>
      </c>
      <c r="F9" s="25"/>
      <c r="G9" s="25" t="s">
        <v>70</v>
      </c>
      <c r="H9" s="25" t="s">
        <v>71</v>
      </c>
      <c r="I9" s="25" t="s">
        <v>58</v>
      </c>
      <c r="J9" s="80" t="s">
        <v>114</v>
      </c>
      <c r="K9" s="26"/>
      <c r="L9" s="25" t="s">
        <v>116</v>
      </c>
      <c r="M9" s="25"/>
      <c r="N9" s="25"/>
      <c r="O9" s="25"/>
      <c r="P9" s="26" t="s">
        <v>59</v>
      </c>
      <c r="Q9" s="25"/>
      <c r="R9" s="28" t="s">
        <v>119</v>
      </c>
      <c r="S9" s="21"/>
    </row>
    <row r="10" spans="1:19" s="17" customFormat="1" ht="78.599999999999994" thickBot="1">
      <c r="A10" s="24" t="s">
        <v>36</v>
      </c>
      <c r="B10" s="24" t="s">
        <v>44</v>
      </c>
      <c r="C10" s="24" t="s">
        <v>72</v>
      </c>
      <c r="D10" s="25" t="s">
        <v>73</v>
      </c>
      <c r="E10" s="26" t="s">
        <v>13</v>
      </c>
      <c r="F10" s="25"/>
      <c r="G10" s="25" t="s">
        <v>74</v>
      </c>
      <c r="H10" s="25" t="s">
        <v>75</v>
      </c>
      <c r="I10" s="25" t="s">
        <v>49</v>
      </c>
      <c r="J10" s="81" t="s">
        <v>114</v>
      </c>
      <c r="K10" s="26"/>
      <c r="L10" s="25" t="s">
        <v>116</v>
      </c>
      <c r="M10" s="25"/>
      <c r="N10" s="25"/>
      <c r="O10" s="25"/>
      <c r="P10" s="26" t="s">
        <v>42</v>
      </c>
      <c r="Q10" s="25" t="s">
        <v>76</v>
      </c>
      <c r="R10" s="25" t="s">
        <v>117</v>
      </c>
      <c r="S10" s="21"/>
    </row>
    <row r="11" spans="1:19" s="17" customFormat="1" ht="40.200000000000003" thickBot="1">
      <c r="A11" s="24" t="s">
        <v>36</v>
      </c>
      <c r="B11" s="24" t="s">
        <v>44</v>
      </c>
      <c r="C11" s="24" t="s">
        <v>72</v>
      </c>
      <c r="D11" s="27" t="s">
        <v>77</v>
      </c>
      <c r="E11" s="26" t="s">
        <v>13</v>
      </c>
      <c r="F11" s="25"/>
      <c r="G11" s="25" t="s">
        <v>78</v>
      </c>
      <c r="H11" s="25" t="s">
        <v>75</v>
      </c>
      <c r="I11" s="25" t="s">
        <v>79</v>
      </c>
      <c r="J11" s="82" t="s">
        <v>114</v>
      </c>
      <c r="K11" s="26"/>
      <c r="L11" s="25" t="s">
        <v>116</v>
      </c>
      <c r="M11" s="25"/>
      <c r="N11" s="25"/>
      <c r="O11" s="25"/>
      <c r="P11" s="26" t="s">
        <v>42</v>
      </c>
      <c r="Q11" s="25" t="s">
        <v>80</v>
      </c>
      <c r="R11" s="25"/>
      <c r="S11" s="21"/>
    </row>
    <row r="12" spans="1:19" s="17" customFormat="1" ht="47.4" thickBot="1">
      <c r="A12" s="24" t="s">
        <v>36</v>
      </c>
      <c r="B12" s="24" t="s">
        <v>44</v>
      </c>
      <c r="C12" s="24" t="s">
        <v>72</v>
      </c>
      <c r="D12" s="27" t="s">
        <v>81</v>
      </c>
      <c r="E12" s="26" t="s">
        <v>14</v>
      </c>
      <c r="F12" s="25"/>
      <c r="G12" s="25" t="s">
        <v>82</v>
      </c>
      <c r="H12" s="25" t="s">
        <v>83</v>
      </c>
      <c r="I12" s="25" t="s">
        <v>58</v>
      </c>
      <c r="J12" s="83" t="s">
        <v>114</v>
      </c>
      <c r="K12" s="26"/>
      <c r="L12" s="25" t="s">
        <v>116</v>
      </c>
      <c r="M12" s="25"/>
      <c r="N12" s="25"/>
      <c r="O12" s="25"/>
      <c r="P12" s="26" t="s">
        <v>59</v>
      </c>
      <c r="Q12" s="25"/>
      <c r="R12" s="28" t="s">
        <v>119</v>
      </c>
      <c r="S12" s="21"/>
    </row>
    <row r="13" spans="1:19" s="17" customFormat="1" ht="27" thickBot="1">
      <c r="A13" s="24" t="s">
        <v>36</v>
      </c>
      <c r="B13" s="24" t="s">
        <v>44</v>
      </c>
      <c r="C13" s="24" t="s">
        <v>84</v>
      </c>
      <c r="D13" s="25" t="s">
        <v>85</v>
      </c>
      <c r="E13" s="26" t="s">
        <v>13</v>
      </c>
      <c r="F13" s="25"/>
      <c r="G13" s="25" t="s">
        <v>86</v>
      </c>
      <c r="H13" s="25" t="s">
        <v>87</v>
      </c>
      <c r="I13" s="25" t="s">
        <v>49</v>
      </c>
      <c r="J13" s="26" t="s">
        <v>113</v>
      </c>
      <c r="K13" s="26"/>
      <c r="L13" s="25"/>
      <c r="M13" s="25"/>
      <c r="N13" s="25"/>
      <c r="O13" s="25"/>
      <c r="P13" s="26" t="s">
        <v>42</v>
      </c>
      <c r="Q13" s="25" t="s">
        <v>88</v>
      </c>
      <c r="R13" s="25"/>
      <c r="S13" s="21"/>
    </row>
    <row r="14" spans="1:19" s="17" customFormat="1" ht="40.200000000000003" thickBot="1">
      <c r="A14" s="24" t="s">
        <v>36</v>
      </c>
      <c r="B14" s="24" t="s">
        <v>44</v>
      </c>
      <c r="C14" s="24" t="s">
        <v>84</v>
      </c>
      <c r="D14" s="27" t="s">
        <v>89</v>
      </c>
      <c r="E14" s="26" t="s">
        <v>13</v>
      </c>
      <c r="F14" s="25"/>
      <c r="G14" s="25" t="s">
        <v>90</v>
      </c>
      <c r="H14" s="25" t="s">
        <v>87</v>
      </c>
      <c r="I14" s="25" t="s">
        <v>91</v>
      </c>
      <c r="J14" s="84" t="s">
        <v>114</v>
      </c>
      <c r="K14" s="26"/>
      <c r="L14" s="25" t="s">
        <v>116</v>
      </c>
      <c r="M14" s="25"/>
      <c r="N14" s="25"/>
      <c r="O14" s="25"/>
      <c r="P14" s="26" t="s">
        <v>42</v>
      </c>
      <c r="Q14" s="25" t="s">
        <v>92</v>
      </c>
      <c r="R14" s="25"/>
      <c r="S14" s="21"/>
    </row>
    <row r="15" spans="1:19" s="17" customFormat="1" ht="47.4" thickBot="1">
      <c r="A15" s="24" t="s">
        <v>36</v>
      </c>
      <c r="B15" s="24" t="s">
        <v>44</v>
      </c>
      <c r="C15" s="24" t="s">
        <v>84</v>
      </c>
      <c r="D15" s="27" t="s">
        <v>93</v>
      </c>
      <c r="E15" s="26" t="s">
        <v>14</v>
      </c>
      <c r="F15" s="25"/>
      <c r="G15" s="25" t="s">
        <v>94</v>
      </c>
      <c r="H15" s="25" t="s">
        <v>95</v>
      </c>
      <c r="I15" s="25" t="s">
        <v>58</v>
      </c>
      <c r="J15" s="26" t="s">
        <v>113</v>
      </c>
      <c r="K15" s="26"/>
      <c r="L15" s="25"/>
      <c r="M15" s="25"/>
      <c r="N15" s="25"/>
      <c r="O15" s="25"/>
      <c r="P15" s="26" t="s">
        <v>59</v>
      </c>
      <c r="Q15" s="25"/>
      <c r="R15" s="28" t="s">
        <v>119</v>
      </c>
      <c r="S15" s="21"/>
    </row>
    <row r="16" spans="1:19" s="17" customFormat="1" ht="66.599999999999994" thickBot="1">
      <c r="A16" s="24" t="s">
        <v>36</v>
      </c>
      <c r="B16" s="24" t="s">
        <v>96</v>
      </c>
      <c r="C16" s="25"/>
      <c r="D16" s="25" t="s">
        <v>97</v>
      </c>
      <c r="E16" s="26" t="s">
        <v>14</v>
      </c>
      <c r="F16" s="25"/>
      <c r="G16" s="25" t="s">
        <v>98</v>
      </c>
      <c r="H16" s="25" t="s">
        <v>99</v>
      </c>
      <c r="I16" s="25" t="s">
        <v>100</v>
      </c>
      <c r="J16" s="85" t="s">
        <v>114</v>
      </c>
      <c r="K16" s="26"/>
      <c r="L16" s="25" t="s">
        <v>116</v>
      </c>
      <c r="M16" s="25"/>
      <c r="N16" s="25"/>
      <c r="O16" s="25"/>
      <c r="P16" s="26" t="s">
        <v>42</v>
      </c>
      <c r="Q16" s="25" t="s">
        <v>101</v>
      </c>
      <c r="R16" s="25"/>
      <c r="S16" s="21"/>
    </row>
    <row r="17" spans="1:19" s="17" customFormat="1" ht="75.599999999999994" customHeight="1" thickBot="1">
      <c r="A17" s="24" t="s">
        <v>36</v>
      </c>
      <c r="B17" s="24" t="s">
        <v>96</v>
      </c>
      <c r="C17" s="25"/>
      <c r="D17" s="25" t="s">
        <v>102</v>
      </c>
      <c r="E17" s="26" t="s">
        <v>13</v>
      </c>
      <c r="F17" s="25"/>
      <c r="G17" s="25" t="s">
        <v>98</v>
      </c>
      <c r="H17" s="25" t="s">
        <v>103</v>
      </c>
      <c r="I17" s="25" t="s">
        <v>104</v>
      </c>
      <c r="J17" s="86" t="s">
        <v>114</v>
      </c>
      <c r="K17" s="26"/>
      <c r="L17" s="25" t="s">
        <v>116</v>
      </c>
      <c r="M17" s="25"/>
      <c r="N17" s="25"/>
      <c r="O17" s="25"/>
      <c r="P17" s="26" t="s">
        <v>42</v>
      </c>
      <c r="Q17" s="25" t="s">
        <v>105</v>
      </c>
      <c r="R17" s="25"/>
      <c r="S17" s="21"/>
    </row>
    <row r="18" spans="1:19" s="17" customFormat="1" ht="75.599999999999994" customHeight="1" thickBot="1">
      <c r="A18" s="24" t="s">
        <v>36</v>
      </c>
      <c r="B18" s="24" t="s">
        <v>96</v>
      </c>
      <c r="C18" s="25"/>
      <c r="D18" s="25" t="s">
        <v>106</v>
      </c>
      <c r="E18" s="26" t="s">
        <v>15</v>
      </c>
      <c r="F18" s="25"/>
      <c r="G18" s="25" t="s">
        <v>98</v>
      </c>
      <c r="H18" s="25" t="s">
        <v>107</v>
      </c>
      <c r="I18" s="25" t="s">
        <v>104</v>
      </c>
      <c r="J18" s="87" t="s">
        <v>114</v>
      </c>
      <c r="K18" s="26"/>
      <c r="L18" s="25" t="s">
        <v>116</v>
      </c>
      <c r="M18" s="25"/>
      <c r="N18" s="25"/>
      <c r="O18" s="25"/>
      <c r="P18" s="26" t="s">
        <v>42</v>
      </c>
      <c r="Q18" s="25" t="s">
        <v>108</v>
      </c>
      <c r="R18" s="25"/>
      <c r="S18" s="21"/>
    </row>
    <row r="19" spans="1:19" s="17" customFormat="1" ht="13.8" thickBot="1">
      <c r="A19" s="21"/>
      <c r="B19" s="21"/>
      <c r="C19" s="21"/>
      <c r="D19" s="21"/>
      <c r="E19" s="21"/>
      <c r="F19" s="21"/>
      <c r="G19" s="21"/>
      <c r="H19" s="21"/>
      <c r="I19" s="21"/>
      <c r="J19" s="74"/>
      <c r="K19" s="74"/>
      <c r="L19" s="21"/>
      <c r="M19" s="21"/>
      <c r="N19" s="21"/>
      <c r="O19" s="21"/>
      <c r="P19" s="21"/>
      <c r="Q19" s="21"/>
      <c r="R19" s="21"/>
      <c r="S19" s="21"/>
    </row>
  </sheetData>
  <phoneticPr fontId="16" type="noConversion"/>
  <dataValidations count="1">
    <dataValidation type="list" allowBlank="1" showInputMessage="1" showErrorMessage="1" sqref="P1:P1048576" xr:uid="{564C4C53-B730-4C79-89AE-E7FD65D424B1}">
      <formula1>"Done, N/A, NotYet, WIP"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1차</vt:lpstr>
      <vt:lpstr>TC 1차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Yeonjung Lee</dc:creator>
  <cp:keywords/>
  <dc:description/>
  <cp:lastModifiedBy>연정 이</cp:lastModifiedBy>
  <cp:revision/>
  <dcterms:created xsi:type="dcterms:W3CDTF">2025-09-03T10:21:45Z</dcterms:created>
  <dcterms:modified xsi:type="dcterms:W3CDTF">2025-11-05T13:14:57Z</dcterms:modified>
  <cp:category/>
  <cp:contentStatus/>
</cp:coreProperties>
</file>